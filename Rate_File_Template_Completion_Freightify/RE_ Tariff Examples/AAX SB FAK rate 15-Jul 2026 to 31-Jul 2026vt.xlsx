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e.kvo\AppData\Local\Microsoft\Olk\Attachments\ooa-23d2b154-91f4-4584-b6b0-e36ee8e38954\a9f954c82257ddcd95329ff4197633f68e05f9f95aec5ba389ef7e1e5575edcc\"/>
    </mc:Choice>
  </mc:AlternateContent>
  <xr:revisionPtr revIDLastSave="0" documentId="8_{65C28027-ECE2-481E-851C-ACC1855A5670}" xr6:coauthVersionLast="47" xr6:coauthVersionMax="47" xr10:uidLastSave="{00000000-0000-0000-0000-000000000000}"/>
  <bookViews>
    <workbookView xWindow="-120" yWindow="-120" windowWidth="29040" windowHeight="15720" xr2:uid="{2C626B54-33A7-4D33-9016-D1208587630F}"/>
  </bookViews>
  <sheets>
    <sheet name="SEA-ISC-MEG TO AUS" sheetId="4" r:id="rId1"/>
    <sheet name="SEA Additional" sheetId="9" r:id="rId2"/>
  </sheets>
  <definedNames>
    <definedName name="_xlnm._FilterDatabase" localSheetId="0" hidden="1">'SEA-ISC-MEG TO AUS'!$A$16:$AB$36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4" l="1"/>
  <c r="L54" i="4"/>
  <c r="L55" i="4"/>
  <c r="L56" i="4"/>
  <c r="L57" i="4"/>
  <c r="L58" i="4"/>
  <c r="L59" i="4"/>
  <c r="L60" i="4"/>
  <c r="L61" i="4"/>
  <c r="L52" i="4"/>
  <c r="I53" i="4"/>
  <c r="I54" i="4"/>
  <c r="I55" i="4"/>
  <c r="I56" i="4"/>
  <c r="I57" i="4"/>
  <c r="I58" i="4"/>
  <c r="I59" i="4"/>
  <c r="I60" i="4"/>
  <c r="I61" i="4"/>
  <c r="I52" i="4"/>
  <c r="AF19" i="9"/>
  <c r="AE19" i="9"/>
  <c r="AF18" i="9"/>
  <c r="AE18" i="9"/>
  <c r="AF17" i="9"/>
  <c r="AE17" i="9"/>
  <c r="H81" i="4" l="1"/>
  <c r="H80" i="4"/>
  <c r="H79" i="4"/>
  <c r="H78" i="4"/>
  <c r="H76" i="4"/>
  <c r="H75" i="4"/>
  <c r="H74" i="4"/>
  <c r="H73" i="4"/>
  <c r="H72" i="4"/>
  <c r="H71" i="4"/>
  <c r="H70" i="4"/>
  <c r="H69" i="4"/>
  <c r="H61" i="4"/>
  <c r="H60" i="4"/>
  <c r="H59" i="4"/>
  <c r="H58" i="4"/>
  <c r="H57" i="4"/>
  <c r="H56" i="4"/>
  <c r="H55" i="4"/>
  <c r="H54" i="4"/>
  <c r="H53" i="4"/>
  <c r="H52" i="4"/>
  <c r="J50" i="4"/>
  <c r="H50" i="4"/>
  <c r="J49" i="4"/>
  <c r="H49" i="4"/>
  <c r="J48" i="4"/>
  <c r="H48" i="4"/>
  <c r="J47" i="4"/>
  <c r="H47" i="4"/>
  <c r="I47" i="4" s="1"/>
  <c r="J46" i="4"/>
  <c r="H46" i="4"/>
  <c r="I46" i="4" s="1"/>
  <c r="J45" i="4"/>
  <c r="H45" i="4"/>
  <c r="I45" i="4" s="1"/>
  <c r="J44" i="4"/>
  <c r="H44" i="4"/>
  <c r="I44" i="4" s="1"/>
  <c r="J43" i="4"/>
  <c r="H43" i="4"/>
  <c r="I43" i="4" s="1"/>
  <c r="J42" i="4"/>
  <c r="H42" i="4"/>
  <c r="J41" i="4"/>
  <c r="H41" i="4"/>
  <c r="I41" i="4" s="1"/>
  <c r="J40" i="4"/>
  <c r="H40" i="4"/>
  <c r="J39" i="4"/>
  <c r="H39" i="4"/>
  <c r="J38" i="4"/>
  <c r="H38" i="4"/>
  <c r="J36" i="4"/>
  <c r="H36" i="4"/>
  <c r="J35" i="4"/>
  <c r="H35" i="4"/>
  <c r="J34" i="4"/>
  <c r="H34" i="4"/>
  <c r="J33" i="4"/>
  <c r="H33" i="4"/>
  <c r="J32" i="4"/>
  <c r="H32" i="4"/>
  <c r="J31" i="4"/>
  <c r="H31" i="4"/>
  <c r="J30" i="4"/>
  <c r="H30" i="4"/>
  <c r="J29" i="4"/>
  <c r="H29" i="4"/>
  <c r="J28" i="4"/>
  <c r="H28" i="4"/>
  <c r="J27" i="4"/>
  <c r="H27" i="4"/>
  <c r="J26" i="4"/>
  <c r="H26" i="4"/>
  <c r="J25" i="4"/>
  <c r="H25" i="4"/>
  <c r="J24" i="4"/>
  <c r="H24" i="4"/>
  <c r="J23" i="4"/>
  <c r="H23" i="4"/>
  <c r="J22" i="4"/>
  <c r="H22" i="4"/>
  <c r="J21" i="4"/>
  <c r="H21" i="4"/>
  <c r="J20" i="4"/>
  <c r="H20" i="4"/>
  <c r="J19" i="4"/>
  <c r="H19" i="4"/>
  <c r="J18" i="4"/>
  <c r="H18" i="4"/>
  <c r="D14" i="4"/>
  <c r="K71" i="4" s="1"/>
  <c r="D13" i="4"/>
  <c r="U56" i="4" l="1"/>
  <c r="S56" i="4" s="1"/>
  <c r="U54" i="4"/>
  <c r="S54" i="4" s="1"/>
  <c r="M56" i="4"/>
  <c r="O56" i="4" s="1"/>
  <c r="K76" i="4"/>
  <c r="Q55" i="4"/>
  <c r="Q20" i="4"/>
  <c r="I20" i="4"/>
  <c r="R20" i="4" s="1"/>
  <c r="P20" i="4" s="1"/>
  <c r="Q36" i="4"/>
  <c r="I36" i="4"/>
  <c r="Q21" i="4"/>
  <c r="I21" i="4"/>
  <c r="Q27" i="4"/>
  <c r="I27" i="4"/>
  <c r="R27" i="4" s="1"/>
  <c r="Q28" i="4"/>
  <c r="I28" i="4"/>
  <c r="R28" i="4" s="1"/>
  <c r="P28" i="4" s="1"/>
  <c r="Q56" i="4"/>
  <c r="I38" i="4"/>
  <c r="Q30" i="4"/>
  <c r="I30" i="4"/>
  <c r="R30" i="4" s="1"/>
  <c r="Q57" i="4"/>
  <c r="Q23" i="4"/>
  <c r="I23" i="4"/>
  <c r="R23" i="4" s="1"/>
  <c r="P23" i="4" s="1"/>
  <c r="Q31" i="4"/>
  <c r="I31" i="4"/>
  <c r="I40" i="4"/>
  <c r="Q48" i="4"/>
  <c r="I48" i="4"/>
  <c r="Q58" i="4"/>
  <c r="Q24" i="4"/>
  <c r="I24" i="4"/>
  <c r="Q32" i="4"/>
  <c r="I32" i="4"/>
  <c r="Q49" i="4"/>
  <c r="I49" i="4"/>
  <c r="Q59" i="4"/>
  <c r="Q29" i="4"/>
  <c r="I29" i="4"/>
  <c r="R29" i="4" s="1"/>
  <c r="P29" i="4" s="1"/>
  <c r="I39" i="4"/>
  <c r="Q25" i="4"/>
  <c r="I25" i="4"/>
  <c r="Q33" i="4"/>
  <c r="I33" i="4"/>
  <c r="I42" i="4"/>
  <c r="Q50" i="4"/>
  <c r="I50" i="4"/>
  <c r="Q60" i="4"/>
  <c r="Q19" i="4"/>
  <c r="I19" i="4"/>
  <c r="R19" i="4" s="1"/>
  <c r="P19" i="4" s="1"/>
  <c r="Q54" i="4"/>
  <c r="Q22" i="4"/>
  <c r="I22" i="4"/>
  <c r="Q61" i="4"/>
  <c r="Q53" i="4"/>
  <c r="Q35" i="4"/>
  <c r="I35" i="4"/>
  <c r="Q18" i="4"/>
  <c r="I18" i="4"/>
  <c r="R18" i="4" s="1"/>
  <c r="Q26" i="4"/>
  <c r="I26" i="4"/>
  <c r="Q34" i="4"/>
  <c r="I34" i="4"/>
  <c r="Q52" i="4"/>
  <c r="M55" i="4"/>
  <c r="O55" i="4" s="1"/>
  <c r="M52" i="4"/>
  <c r="O52" i="4" s="1"/>
  <c r="M58" i="4"/>
  <c r="O58" i="4" s="1"/>
  <c r="M59" i="4"/>
  <c r="O59" i="4" s="1"/>
  <c r="M53" i="4"/>
  <c r="O53" i="4" s="1"/>
  <c r="M61" i="4"/>
  <c r="O61" i="4" s="1"/>
  <c r="M60" i="4"/>
  <c r="O60" i="4" s="1"/>
  <c r="M57" i="4"/>
  <c r="O57" i="4" s="1"/>
  <c r="M54" i="4"/>
  <c r="O54" i="4" s="1"/>
  <c r="M43" i="4"/>
  <c r="M45" i="4"/>
  <c r="M38" i="4"/>
  <c r="M46" i="4"/>
  <c r="M39" i="4"/>
  <c r="M47" i="4"/>
  <c r="M48" i="4"/>
  <c r="M44" i="4"/>
  <c r="M41" i="4"/>
  <c r="M49" i="4"/>
  <c r="M42" i="4"/>
  <c r="M40" i="4"/>
  <c r="M50" i="4"/>
  <c r="M26" i="4"/>
  <c r="M35" i="4"/>
  <c r="M20" i="4"/>
  <c r="M21" i="4"/>
  <c r="M30" i="4"/>
  <c r="M32" i="4"/>
  <c r="M18" i="4"/>
  <c r="M27" i="4"/>
  <c r="M36" i="4"/>
  <c r="M22" i="4"/>
  <c r="M31" i="4"/>
  <c r="M33" i="4"/>
  <c r="M34" i="4"/>
  <c r="M19" i="4"/>
  <c r="M28" i="4"/>
  <c r="M29" i="4"/>
  <c r="M23" i="4"/>
  <c r="M24" i="4"/>
  <c r="M25" i="4"/>
  <c r="K72" i="4"/>
  <c r="K69" i="4"/>
  <c r="K81" i="4"/>
  <c r="N27" i="4"/>
  <c r="N34" i="4"/>
  <c r="K22" i="4"/>
  <c r="T22" i="4" s="1"/>
  <c r="K78" i="4"/>
  <c r="K70" i="4"/>
  <c r="K74" i="4"/>
  <c r="K75" i="4"/>
  <c r="K73" i="4"/>
  <c r="K79" i="4"/>
  <c r="K80" i="4"/>
  <c r="K57" i="4"/>
  <c r="T57" i="4" s="1"/>
  <c r="N54" i="4"/>
  <c r="K25" i="4"/>
  <c r="T25" i="4" s="1"/>
  <c r="K27" i="4"/>
  <c r="T27" i="4" s="1"/>
  <c r="N26" i="4"/>
  <c r="K46" i="4"/>
  <c r="L46" i="4" s="1"/>
  <c r="N30" i="4"/>
  <c r="K54" i="4"/>
  <c r="T54" i="4" s="1"/>
  <c r="K20" i="4"/>
  <c r="T20" i="4" s="1"/>
  <c r="K21" i="4"/>
  <c r="T21" i="4" s="1"/>
  <c r="N57" i="4"/>
  <c r="K48" i="4"/>
  <c r="T48" i="4" s="1"/>
  <c r="N21" i="4"/>
  <c r="N42" i="4"/>
  <c r="N55" i="4"/>
  <c r="K28" i="4"/>
  <c r="T28" i="4" s="1"/>
  <c r="N53" i="4"/>
  <c r="N18" i="4"/>
  <c r="N24" i="4"/>
  <c r="K61" i="4"/>
  <c r="T61" i="4" s="1"/>
  <c r="K26" i="4"/>
  <c r="T26" i="4" s="1"/>
  <c r="K33" i="4"/>
  <c r="T33" i="4" s="1"/>
  <c r="K45" i="4"/>
  <c r="L45" i="4" s="1"/>
  <c r="N59" i="4"/>
  <c r="K43" i="4"/>
  <c r="L43" i="4" s="1"/>
  <c r="N56" i="4"/>
  <c r="N23" i="4"/>
  <c r="N60" i="4"/>
  <c r="K31" i="4"/>
  <c r="T31" i="4" s="1"/>
  <c r="N45" i="4"/>
  <c r="N52" i="4"/>
  <c r="K60" i="4"/>
  <c r="T60" i="4" s="1"/>
  <c r="K49" i="4"/>
  <c r="T49" i="4" s="1"/>
  <c r="K42" i="4"/>
  <c r="L42" i="4" s="1"/>
  <c r="N43" i="4"/>
  <c r="N20" i="4"/>
  <c r="N50" i="4"/>
  <c r="N47" i="4"/>
  <c r="N38" i="4"/>
  <c r="K55" i="4"/>
  <c r="T55" i="4" s="1"/>
  <c r="K30" i="4"/>
  <c r="T30" i="4" s="1"/>
  <c r="K39" i="4"/>
  <c r="L39" i="4" s="1"/>
  <c r="N40" i="4"/>
  <c r="N61" i="4"/>
  <c r="N44" i="4"/>
  <c r="K53" i="4"/>
  <c r="T53" i="4" s="1"/>
  <c r="K40" i="4"/>
  <c r="L40" i="4" s="1"/>
  <c r="K47" i="4"/>
  <c r="L47" i="4" s="1"/>
  <c r="N25" i="4"/>
  <c r="K52" i="4"/>
  <c r="T52" i="4" s="1"/>
  <c r="N48" i="4"/>
  <c r="K59" i="4"/>
  <c r="T59" i="4" s="1"/>
  <c r="N41" i="4"/>
  <c r="K50" i="4"/>
  <c r="T50" i="4" s="1"/>
  <c r="N49" i="4"/>
  <c r="N22" i="4"/>
  <c r="N46" i="4"/>
  <c r="K36" i="4"/>
  <c r="T36" i="4" s="1"/>
  <c r="K34" i="4"/>
  <c r="T34" i="4" s="1"/>
  <c r="N58" i="4"/>
  <c r="K24" i="4"/>
  <c r="T24" i="4" s="1"/>
  <c r="N33" i="4"/>
  <c r="K44" i="4"/>
  <c r="L44" i="4" s="1"/>
  <c r="K19" i="4"/>
  <c r="T19" i="4" s="1"/>
  <c r="N28" i="4"/>
  <c r="K58" i="4"/>
  <c r="T58" i="4" s="1"/>
  <c r="N35" i="4"/>
  <c r="K35" i="4"/>
  <c r="T35" i="4" s="1"/>
  <c r="N32" i="4"/>
  <c r="K41" i="4"/>
  <c r="L41" i="4" s="1"/>
  <c r="K18" i="4"/>
  <c r="T18" i="4" s="1"/>
  <c r="K29" i="4"/>
  <c r="T29" i="4" s="1"/>
  <c r="K56" i="4"/>
  <c r="T56" i="4" s="1"/>
  <c r="N29" i="4"/>
  <c r="N36" i="4"/>
  <c r="N19" i="4"/>
  <c r="K23" i="4"/>
  <c r="T23" i="4" s="1"/>
  <c r="K38" i="4"/>
  <c r="L38" i="4" s="1"/>
  <c r="K32" i="4"/>
  <c r="T32" i="4" s="1"/>
  <c r="N31" i="4"/>
  <c r="N39" i="4"/>
  <c r="U59" i="4" l="1"/>
  <c r="S59" i="4" s="1"/>
  <c r="U60" i="4"/>
  <c r="S60" i="4" s="1"/>
  <c r="U53" i="4"/>
  <c r="S53" i="4" s="1"/>
  <c r="P27" i="4"/>
  <c r="S27" i="4" s="1"/>
  <c r="U27" i="4" s="1"/>
  <c r="U61" i="4"/>
  <c r="S61" i="4" s="1"/>
  <c r="U52" i="4"/>
  <c r="S52" i="4" s="1"/>
  <c r="U58" i="4"/>
  <c r="S58" i="4" s="1"/>
  <c r="U57" i="4"/>
  <c r="S57" i="4" s="1"/>
  <c r="U55" i="4"/>
  <c r="S55" i="4" s="1"/>
  <c r="P30" i="4"/>
  <c r="S30" i="4" s="1"/>
  <c r="U30" i="4" s="1"/>
  <c r="P18" i="4"/>
  <c r="S18" i="4" s="1"/>
  <c r="U18" i="4"/>
  <c r="R31" i="4"/>
  <c r="P31" i="4" s="1"/>
  <c r="S31" i="4" s="1"/>
  <c r="U31" i="4" s="1"/>
  <c r="R56" i="4"/>
  <c r="P56" i="4" s="1"/>
  <c r="R24" i="4"/>
  <c r="P24" i="4" s="1"/>
  <c r="S24" i="4" s="1"/>
  <c r="U24" i="4" s="1"/>
  <c r="R48" i="4"/>
  <c r="P48" i="4" s="1"/>
  <c r="S48" i="4" s="1"/>
  <c r="U48" i="4" s="1"/>
  <c r="R58" i="4"/>
  <c r="P58" i="4" s="1"/>
  <c r="R53" i="4"/>
  <c r="P53" i="4" s="1"/>
  <c r="R61" i="4"/>
  <c r="P61" i="4" s="1"/>
  <c r="R36" i="4"/>
  <c r="P36" i="4" s="1"/>
  <c r="S36" i="4" s="1"/>
  <c r="U36" i="4" s="1"/>
  <c r="R52" i="4"/>
  <c r="P52" i="4" s="1"/>
  <c r="R54" i="4"/>
  <c r="P54" i="4" s="1"/>
  <c r="R59" i="4"/>
  <c r="P59" i="4" s="1"/>
  <c r="R25" i="4"/>
  <c r="P25" i="4" s="1"/>
  <c r="S25" i="4" s="1"/>
  <c r="U25" i="4" s="1"/>
  <c r="R57" i="4"/>
  <c r="P57" i="4" s="1"/>
  <c r="R50" i="4"/>
  <c r="P50" i="4" s="1"/>
  <c r="S50" i="4" s="1"/>
  <c r="U50" i="4" s="1"/>
  <c r="R34" i="4"/>
  <c r="P34" i="4" s="1"/>
  <c r="S34" i="4" s="1"/>
  <c r="U34" i="4" s="1"/>
  <c r="R49" i="4"/>
  <c r="P49" i="4" s="1"/>
  <c r="S49" i="4" s="1"/>
  <c r="U49" i="4" s="1"/>
  <c r="R55" i="4"/>
  <c r="P55" i="4" s="1"/>
  <c r="R35" i="4"/>
  <c r="P35" i="4" s="1"/>
  <c r="S35" i="4" s="1"/>
  <c r="U35" i="4" s="1"/>
  <c r="R33" i="4"/>
  <c r="P33" i="4" s="1"/>
  <c r="S33" i="4" s="1"/>
  <c r="U33" i="4" s="1"/>
  <c r="R26" i="4"/>
  <c r="P26" i="4" s="1"/>
  <c r="S26" i="4" s="1"/>
  <c r="U26" i="4" s="1"/>
  <c r="R60" i="4"/>
  <c r="P60" i="4" s="1"/>
  <c r="R32" i="4"/>
  <c r="P32" i="4" s="1"/>
  <c r="S32" i="4" s="1"/>
  <c r="U32" i="4" s="1"/>
  <c r="R21" i="4"/>
  <c r="P21" i="4" s="1"/>
  <c r="S21" i="4" s="1"/>
  <c r="U21" i="4" s="1"/>
  <c r="R22" i="4"/>
  <c r="P22" i="4" s="1"/>
  <c r="S22" i="4" s="1"/>
  <c r="U22" i="4" s="1"/>
  <c r="I74" i="4"/>
  <c r="G74" i="4" s="1"/>
  <c r="J74" i="4" s="1"/>
  <c r="L74" i="4" s="1"/>
  <c r="S28" i="4"/>
  <c r="U28" i="4" s="1"/>
  <c r="I79" i="4"/>
  <c r="G79" i="4" s="1"/>
  <c r="J79" i="4" s="1"/>
  <c r="L79" i="4" s="1"/>
  <c r="I75" i="4"/>
  <c r="G75" i="4" s="1"/>
  <c r="J75" i="4" s="1"/>
  <c r="L75" i="4" s="1"/>
  <c r="S29" i="4"/>
  <c r="U29" i="4" s="1"/>
  <c r="I81" i="4"/>
  <c r="G81" i="4" s="1"/>
  <c r="J81" i="4" s="1"/>
  <c r="L81" i="4" s="1"/>
  <c r="I71" i="4"/>
  <c r="G71" i="4" s="1"/>
  <c r="S20" i="4"/>
  <c r="U20" i="4" s="1"/>
  <c r="I70" i="4"/>
  <c r="G70" i="4" s="1"/>
  <c r="J70" i="4" s="1"/>
  <c r="L70" i="4" s="1"/>
  <c r="S19" i="4"/>
  <c r="U19" i="4" s="1"/>
  <c r="I76" i="4"/>
  <c r="G76" i="4" s="1"/>
  <c r="J76" i="4" s="1"/>
  <c r="L76" i="4" s="1"/>
  <c r="I73" i="4"/>
  <c r="G73" i="4" s="1"/>
  <c r="J73" i="4" s="1"/>
  <c r="L73" i="4" s="1"/>
  <c r="I72" i="4"/>
  <c r="G72" i="4" s="1"/>
  <c r="J72" i="4" s="1"/>
  <c r="L72" i="4" s="1"/>
  <c r="S23" i="4"/>
  <c r="U23" i="4" s="1"/>
  <c r="I80" i="4"/>
  <c r="G80" i="4" s="1"/>
  <c r="J80" i="4" s="1"/>
  <c r="L80" i="4" s="1"/>
  <c r="I78" i="4"/>
  <c r="G78" i="4" s="1"/>
  <c r="J78" i="4" s="1"/>
  <c r="L78" i="4" s="1"/>
  <c r="O20" i="4"/>
  <c r="O45" i="4"/>
  <c r="O42" i="4"/>
  <c r="L49" i="4"/>
  <c r="O30" i="4"/>
  <c r="O33" i="4"/>
  <c r="L31" i="4"/>
  <c r="L28" i="4"/>
  <c r="L35" i="4"/>
  <c r="O44" i="4"/>
  <c r="L23" i="4"/>
  <c r="L27" i="4"/>
  <c r="O28" i="4"/>
  <c r="O21" i="4"/>
  <c r="L19" i="4"/>
  <c r="O27" i="4"/>
  <c r="L21" i="4"/>
  <c r="I69" i="4"/>
  <c r="L25" i="4"/>
  <c r="O39" i="4"/>
  <c r="L24" i="4"/>
  <c r="O22" i="4"/>
  <c r="L32" i="4"/>
  <c r="O25" i="4"/>
  <c r="O34" i="4"/>
  <c r="L36" i="4"/>
  <c r="L18" i="4"/>
  <c r="L33" i="4"/>
  <c r="L48" i="4"/>
  <c r="O49" i="4"/>
  <c r="L20" i="4"/>
  <c r="O19" i="4"/>
  <c r="O38" i="4"/>
  <c r="O35" i="4"/>
  <c r="O18" i="4"/>
  <c r="O23" i="4"/>
  <c r="O32" i="4"/>
  <c r="O46" i="4"/>
  <c r="L34" i="4"/>
  <c r="O43" i="4"/>
  <c r="L26" i="4"/>
  <c r="L29" i="4"/>
  <c r="O48" i="4"/>
  <c r="O31" i="4"/>
  <c r="L30" i="4"/>
  <c r="O40" i="4"/>
  <c r="O36" i="4"/>
  <c r="O41" i="4"/>
  <c r="O24" i="4"/>
  <c r="O26" i="4"/>
  <c r="L50" i="4"/>
  <c r="O29" i="4"/>
  <c r="L22" i="4"/>
  <c r="O50" i="4"/>
  <c r="O47" i="4"/>
  <c r="G69" i="4" l="1"/>
  <c r="J69" i="4" s="1"/>
  <c r="L69" i="4" s="1"/>
  <c r="J71" i="4"/>
  <c r="L71" i="4" s="1"/>
</calcChain>
</file>

<file path=xl/sharedStrings.xml><?xml version="1.0" encoding="utf-8"?>
<sst xmlns="http://schemas.openxmlformats.org/spreadsheetml/2006/main" count="666" uniqueCount="242">
  <si>
    <t>SEA/ISC/MEG TO AUSTRALIA</t>
  </si>
  <si>
    <t>SOUTHBOUND FAK RATES - DRY/RF/NOR</t>
  </si>
  <si>
    <r>
      <t xml:space="preserve">Commodity: </t>
    </r>
    <r>
      <rPr>
        <sz val="11"/>
        <color theme="1"/>
        <rFont val="Calibri"/>
        <family val="2"/>
        <scheme val="minor"/>
      </rPr>
      <t>FAK Harmless ( If you require SOC / HAZ / Special Equipment / Out-Of-Gauge - Please contact your local sales contact )</t>
    </r>
  </si>
  <si>
    <r>
      <t xml:space="preserve">Mode: </t>
    </r>
    <r>
      <rPr>
        <sz val="11"/>
        <color theme="1"/>
        <rFont val="Calibri"/>
        <family val="2"/>
        <scheme val="minor"/>
      </rPr>
      <t>Port to Port</t>
    </r>
  </si>
  <si>
    <t>*Spot-On rates remain dynamic and are subject to change, please refer to the website rate for current levels</t>
  </si>
  <si>
    <t>AUS MAIN PORTS: FREMANTLE, ADELAIDE, MELBOURNE, SYDNEY, BRISBANE</t>
  </si>
  <si>
    <t>20'ST</t>
  </si>
  <si>
    <t>40'ST</t>
  </si>
  <si>
    <t>DRY Container</t>
  </si>
  <si>
    <t>Reefer</t>
  </si>
  <si>
    <t>Country</t>
  </si>
  <si>
    <t>Origin</t>
  </si>
  <si>
    <t>Port Code</t>
  </si>
  <si>
    <t>Destination</t>
  </si>
  <si>
    <t>Service</t>
  </si>
  <si>
    <t>Currency</t>
  </si>
  <si>
    <t>Rate (USD)</t>
  </si>
  <si>
    <t>Rate Structure</t>
  </si>
  <si>
    <t>Transit Time (AAX-S)</t>
  </si>
  <si>
    <t>Total Connection</t>
  </si>
  <si>
    <t>T/S</t>
  </si>
  <si>
    <t>Transit Time (AAX-E)</t>
  </si>
  <si>
    <t>Transit Time (AAX-W)</t>
  </si>
  <si>
    <t>FRT</t>
  </si>
  <si>
    <t>BAF</t>
  </si>
  <si>
    <t>40'HC</t>
  </si>
  <si>
    <t>20NOR</t>
  </si>
  <si>
    <t>40NOR</t>
  </si>
  <si>
    <t>AUMEL</t>
  </si>
  <si>
    <t>AUSYD</t>
  </si>
  <si>
    <t>AUADL</t>
  </si>
  <si>
    <t>AUFRE</t>
  </si>
  <si>
    <t>AUBNE</t>
  </si>
  <si>
    <t>SINGAPORE</t>
  </si>
  <si>
    <t>SGSIN</t>
  </si>
  <si>
    <t>AUS MAIN PORTS</t>
  </si>
  <si>
    <t>AAXS/AAXE/AAXW</t>
  </si>
  <si>
    <t>USD</t>
  </si>
  <si>
    <t>Subject to all applicable charges VATOS</t>
  </si>
  <si>
    <t>DIRECT</t>
  </si>
  <si>
    <t>MALAYSIA</t>
  </si>
  <si>
    <t>PORT KLANG</t>
  </si>
  <si>
    <t>MYPKG</t>
  </si>
  <si>
    <t>TANJUNG PELEPAS</t>
  </si>
  <si>
    <t>MYTPP</t>
  </si>
  <si>
    <t>PASIR GUDANG</t>
  </si>
  <si>
    <t>MYPGU</t>
  </si>
  <si>
    <t>PENANG</t>
  </si>
  <si>
    <t>MYPEN</t>
  </si>
  <si>
    <t>INDONESIA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</si>
  <si>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</si>
  <si>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</si>
  <si>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</si>
  <si>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</si>
  <si>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</si>
  <si>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</si>
  <si>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</si>
  <si>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</si>
  <si>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THAILAND</t>
  </si>
  <si>
    <t>LAEM CHABANG</t>
  </si>
  <si>
    <t>THLCH</t>
  </si>
  <si>
    <t xml:space="preserve">BANGKOK </t>
  </si>
  <si>
    <t>THBKK</t>
  </si>
  <si>
    <t>LAT KRABANG / BBT / SIAM CONTAINER TERMINAL / ESCO</t>
  </si>
  <si>
    <t>VIETNAM</t>
  </si>
  <si>
    <t>HO CHI MINH / VUNG TAU</t>
  </si>
  <si>
    <t>VNSGN / VNVUT</t>
  </si>
  <si>
    <t>HAIPHONG</t>
  </si>
  <si>
    <t>VNHPH</t>
  </si>
  <si>
    <t>DANANG</t>
  </si>
  <si>
    <t>VNDAD</t>
  </si>
  <si>
    <t>QUINHON</t>
  </si>
  <si>
    <t>VNUIH</t>
  </si>
  <si>
    <t>PHILIPPINES</t>
  </si>
  <si>
    <t>MANILA</t>
  </si>
  <si>
    <t>PHMNL</t>
  </si>
  <si>
    <t>CAMBODIA</t>
  </si>
  <si>
    <t>SIHANOUKVILLE</t>
  </si>
  <si>
    <t>KHKOS</t>
  </si>
  <si>
    <t>MYANMAR</t>
  </si>
  <si>
    <t>YANGON</t>
  </si>
  <si>
    <t>MMRGN</t>
  </si>
  <si>
    <t>INDIA</t>
  </si>
  <si>
    <t>NHAVA SHEVA</t>
  </si>
  <si>
    <t>INNSA</t>
  </si>
  <si>
    <t>MUNDRA</t>
  </si>
  <si>
    <t>INMUN</t>
  </si>
  <si>
    <t>PIPAVAV</t>
  </si>
  <si>
    <t>INPAV</t>
  </si>
  <si>
    <t>HAZIRA</t>
  </si>
  <si>
    <t>INHZA</t>
  </si>
  <si>
    <t>CMB-MYTPP</t>
  </si>
  <si>
    <t>MADRAS/ CHENNAI</t>
  </si>
  <si>
    <t>INMAA</t>
  </si>
  <si>
    <t>CALCUTTA</t>
  </si>
  <si>
    <t>INCCU</t>
  </si>
  <si>
    <t>COCHIN</t>
  </si>
  <si>
    <t>INCOK</t>
  </si>
  <si>
    <t>CMB-PKG</t>
  </si>
  <si>
    <t>CMB-MYPKG</t>
  </si>
  <si>
    <t>TUTICORIN</t>
  </si>
  <si>
    <t>INTUT</t>
  </si>
  <si>
    <t>VISAKHAPATNAM</t>
  </si>
  <si>
    <t>INVTZ</t>
  </si>
  <si>
    <t>MANGALORE</t>
  </si>
  <si>
    <t>INIXE</t>
  </si>
  <si>
    <t>CMB-SIN</t>
  </si>
  <si>
    <t>BANGLADESH</t>
  </si>
  <si>
    <t>CHITTAGONG</t>
  </si>
  <si>
    <t>BDCGP</t>
  </si>
  <si>
    <t>SRI LANKA</t>
  </si>
  <si>
    <t>COLOMBO</t>
  </si>
  <si>
    <t>LKCMB</t>
  </si>
  <si>
    <t>PAKISTAN</t>
  </si>
  <si>
    <t>KARACHI</t>
  </si>
  <si>
    <t>PKKHI</t>
  </si>
  <si>
    <t>UAE</t>
  </si>
  <si>
    <t xml:space="preserve">JEBEL ALI </t>
  </si>
  <si>
    <t>AEJEA</t>
  </si>
  <si>
    <t>ABU DHABI</t>
  </si>
  <si>
    <t>AEKHL</t>
  </si>
  <si>
    <t>SAUDI ARABIA</t>
  </si>
  <si>
    <t>JEDDAH</t>
  </si>
  <si>
    <t>SAJED</t>
  </si>
  <si>
    <t>DAMMAM</t>
  </si>
  <si>
    <t>SADMM</t>
  </si>
  <si>
    <t>BAHRAIN</t>
  </si>
  <si>
    <t>BHKBS</t>
  </si>
  <si>
    <t>JEA-SGSIN</t>
  </si>
  <si>
    <t>JEA-SIN</t>
  </si>
  <si>
    <t>OMAN</t>
  </si>
  <si>
    <t>SOHAR</t>
  </si>
  <si>
    <t>OMSOH</t>
  </si>
  <si>
    <t>QATAR</t>
  </si>
  <si>
    <t>HAMAD</t>
  </si>
  <si>
    <t>QAHMD</t>
  </si>
  <si>
    <t>KUWAIT</t>
  </si>
  <si>
    <t xml:space="preserve">SHUWAIKH </t>
  </si>
  <si>
    <t>KWSWK</t>
  </si>
  <si>
    <t>JEA-PKG</t>
  </si>
  <si>
    <t xml:space="preserve">SHUAIBA </t>
  </si>
  <si>
    <t>KWSAA</t>
  </si>
  <si>
    <t>JORDAN</t>
  </si>
  <si>
    <t>AQABA</t>
  </si>
  <si>
    <t>JOAQJ</t>
  </si>
  <si>
    <t>*Transit Time subject to change</t>
  </si>
  <si>
    <t>REEFER Container</t>
  </si>
  <si>
    <t>20'RF</t>
  </si>
  <si>
    <t>40'RH</t>
  </si>
  <si>
    <t>Malaysia</t>
  </si>
  <si>
    <t>Indonesia</t>
  </si>
  <si>
    <t>Thailand</t>
  </si>
  <si>
    <t>LAT KRABANG</t>
  </si>
  <si>
    <t>Vietnam</t>
  </si>
  <si>
    <t>HO CHI MINH / VUNT TAU</t>
  </si>
  <si>
    <t>India</t>
  </si>
  <si>
    <t>Carrier Charges ( others may apply )</t>
  </si>
  <si>
    <t>Container Surcharges</t>
  </si>
  <si>
    <t>Charge</t>
  </si>
  <si>
    <t>Remark</t>
  </si>
  <si>
    <t>20'</t>
  </si>
  <si>
    <t>40'</t>
  </si>
  <si>
    <t>Special Equipment Surcharge (In Gauge)</t>
  </si>
  <si>
    <t>20OT / FR</t>
  </si>
  <si>
    <t>40OT / FR</t>
  </si>
  <si>
    <t>https://www.anl.com.au/ebusiness/tariffs/charge-finder</t>
  </si>
  <si>
    <t>SEA-ISC-MEG to AU on AAX service</t>
  </si>
  <si>
    <t>USD 200</t>
  </si>
  <si>
    <t>USD 400</t>
  </si>
  <si>
    <t>CSF</t>
  </si>
  <si>
    <t>Ocean Carrier-Intl Ship &amp; port Facility Security</t>
  </si>
  <si>
    <t xml:space="preserve">USD </t>
  </si>
  <si>
    <t>NEA to ADL / FRE on AAX service</t>
  </si>
  <si>
    <t>SES (FRT52)</t>
  </si>
  <si>
    <t xml:space="preserve">Special Equipment Surcharge </t>
  </si>
  <si>
    <t>(booking acceptance subject to equipment availability)</t>
  </si>
  <si>
    <t>SES (NEA-ADL/FRE via AAX)</t>
  </si>
  <si>
    <t>Special Equipment Surcharge (ex NEA)</t>
  </si>
  <si>
    <t>Haz Surcharge</t>
  </si>
  <si>
    <t>Per TEU</t>
  </si>
  <si>
    <t>HAZ</t>
  </si>
  <si>
    <t>Dangerous goods additional (Only applicable if cargo is deemed Hazardous)</t>
  </si>
  <si>
    <t>USD 225</t>
  </si>
  <si>
    <t xml:space="preserve">HAZ (NEA-ADL/FRE via AAX)  </t>
  </si>
  <si>
    <t>DOF</t>
  </si>
  <si>
    <t>Destination Doc Fee</t>
  </si>
  <si>
    <t>AUD</t>
  </si>
  <si>
    <t>(DG acceptance subject to vessel operator approval)</t>
  </si>
  <si>
    <t>CTR32</t>
  </si>
  <si>
    <t>Container Maintenance Charge at destination</t>
  </si>
  <si>
    <t>TQC (TAS)</t>
  </si>
  <si>
    <t xml:space="preserve">Tasmanian Quarantine Surcharge </t>
  </si>
  <si>
    <t>SCC (INS07)</t>
  </si>
  <si>
    <t>Sensitive Cargo Contribution (For OOG)</t>
  </si>
  <si>
    <t>Movement Surcharges</t>
  </si>
  <si>
    <t>Tasmanian on-carriage additional via Melbourne (AUD)</t>
  </si>
  <si>
    <t>Additional Charges may apply or not be present in the above</t>
  </si>
  <si>
    <t>20GP</t>
  </si>
  <si>
    <t>20GP HAZ</t>
  </si>
  <si>
    <t>40GP</t>
  </si>
  <si>
    <t>40GP HAZ</t>
  </si>
  <si>
    <t>40HC</t>
  </si>
  <si>
    <t>40HC HAZ</t>
  </si>
  <si>
    <t>20RF</t>
  </si>
  <si>
    <t>40RH</t>
  </si>
  <si>
    <t>20OT / FR IG</t>
  </si>
  <si>
    <t>40OT / FR IG</t>
  </si>
  <si>
    <t>Rates are subject to change, with or without notice</t>
  </si>
  <si>
    <t>BURNIE</t>
  </si>
  <si>
    <t>BELL BAY</t>
  </si>
  <si>
    <t>HOBART</t>
  </si>
  <si>
    <t xml:space="preserve">TAS Quarantine Surcharge </t>
  </si>
  <si>
    <t>Conditions</t>
  </si>
  <si>
    <t>Rates are quoted in USD subject to all other applicable surcharges</t>
  </si>
  <si>
    <t>Resume accepting 40'GP into Tasmania (note: on-carriage rate will be higher than 40HC due to logistics costs)</t>
  </si>
  <si>
    <t xml:space="preserve">NOR and Reefer subject to box available at time of booking, and 2-3 weeks forecast is needed. </t>
  </si>
  <si>
    <t>Chittagong (BDCGP) rates are inclusvie of OTHC</t>
  </si>
  <si>
    <t>Colombo, Sri Lanka:- Export Doc Fee (DA001) and Container Fumigation Charge (CTR40) are applicable and payment method follows Freight. (Prepaid / Collect).</t>
  </si>
  <si>
    <t>FEE26 – (Lara Code - DA001) = USD 25 per B/L</t>
  </si>
  <si>
    <t>FUM40 – (Lara Code - CTR40) = USD 11/17 per 20’/40’</t>
  </si>
  <si>
    <t>Pakistan - Karachi (PKKHI) and Port Qasim (PKBQM) rates are inclusive of OTHC</t>
  </si>
  <si>
    <t>Further Info / Links</t>
  </si>
  <si>
    <t>Standard D&amp;D: https://www.anl.com.au/ebusiness/tariffs/demurrage-detention</t>
  </si>
  <si>
    <t>Carrier Charge Finder: https://www.anl.com.au/ebusiness/tariffs/charge-finder</t>
  </si>
  <si>
    <r>
      <t>Add Cargo Insurance to your booking for just 0.2% of cargo value</t>
    </r>
    <r>
      <rPr>
        <b/>
        <vertAlign val="superscript"/>
        <sz val="11"/>
        <rFont val="Calibri"/>
        <family val="2"/>
        <scheme val="minor"/>
      </rPr>
      <t>*</t>
    </r>
    <r>
      <rPr>
        <b/>
        <sz val="11"/>
        <rFont val="Calibri"/>
        <family val="2"/>
        <scheme val="minor"/>
      </rPr>
      <t>. Reply for a quote now. - (*) Subject to certain terms and conditions.</t>
    </r>
  </si>
  <si>
    <t>Remarks</t>
  </si>
  <si>
    <t xml:space="preserve">** The revised THC will apply to all Dry or Reefer cargofor imports discharging from 1st May 2020. </t>
  </si>
  <si>
    <t>***DTHC OOG Non Standard Lift</t>
  </si>
  <si>
    <t>Direct Delivery may be required.</t>
  </si>
  <si>
    <t xml:space="preserve">Failure by the consignee to arrange Direct Delivery when required, </t>
  </si>
  <si>
    <t>but may be higher depending on the specific handling requirements for the container.</t>
  </si>
  <si>
    <t>*OH  by more than 1.5M</t>
  </si>
  <si>
    <t>*OW by more than 10 CM on either side.</t>
  </si>
  <si>
    <t>Ex AEJEA via OMSOH Landbridge surcharges are available upon request and subject to change, with or without notice</t>
  </si>
  <si>
    <t>Ex SADMM via SAJED Landbridge surcharges are available upon request and subject to change, with or without notice</t>
  </si>
  <si>
    <t>Door service to Launceston, Devonport and many other locations available on request</t>
  </si>
  <si>
    <t>Q3 BAF</t>
  </si>
  <si>
    <t>Valid for Q3 2026</t>
  </si>
  <si>
    <t>Validity: 01/07/2026 - 30/09/2026</t>
  </si>
  <si>
    <t>EFS and ECS are Inclusive</t>
  </si>
  <si>
    <t xml:space="preserve">Validity: 15-Jul-2026 to 31-Jul 2026 </t>
  </si>
  <si>
    <t>Release Date: 02/07/2026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</si>
</sst>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0" fillId="0" borderId="0"/>
    <xf numFmtId="0" fontId="10" fillId="0" borderId="0"/>
    <xf numFmtId="0" fontId="11" fillId="0" borderId="0" applyNumberFormat="0" applyFill="0" applyBorder="0" applyAlignment="0" applyProtection="0"/>
    <xf numFmtId="0" fontId="10" fillId="0" borderId="0"/>
    <xf numFmtId="0" fontId="10" fillId="0" borderId="0"/>
  </cellStyleXfs>
  <cellXfs count="252">
    <xf numFmtId="0" fontId="0" fillId="0" borderId="0" xfId="0"/>
    <xf numFmtId="0" fontId="1" fillId="0" borderId="0" xfId="1"/>
    <xf numFmtId="0" fontId="8" fillId="0" borderId="0" xfId="1" applyFont="1"/>
    <xf numFmtId="0" fontId="4" fillId="0" borderId="0" xfId="1" applyFont="1"/>
    <xf numFmtId="0" fontId="4" fillId="0" borderId="0" xfId="0" applyFont="1"/>
    <xf numFmtId="0" fontId="1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4" borderId="10" xfId="1" applyFont="1" applyFill="1" applyBorder="1" applyAlignment="1">
      <alignment horizontal="center"/>
    </xf>
    <xf numFmtId="0" fontId="2" fillId="4" borderId="14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/>
    </xf>
    <xf numFmtId="0" fontId="8" fillId="0" borderId="18" xfId="1" applyFont="1" applyBorder="1"/>
    <xf numFmtId="0" fontId="8" fillId="0" borderId="19" xfId="1" applyFont="1" applyBorder="1"/>
    <xf numFmtId="0" fontId="0" fillId="0" borderId="20" xfId="0" applyBorder="1" applyAlignment="1">
      <alignment horizontal="left"/>
    </xf>
    <xf numFmtId="0" fontId="8" fillId="5" borderId="19" xfId="2" applyFont="1" applyFill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8" fillId="0" borderId="22" xfId="1" applyFont="1" applyBorder="1" applyAlignment="1">
      <alignment horizontal="center" vertical="center"/>
    </xf>
    <xf numFmtId="0" fontId="8" fillId="6" borderId="23" xfId="1" applyFont="1" applyFill="1" applyBorder="1" applyAlignment="1">
      <alignment horizontal="center" vertical="center"/>
    </xf>
    <xf numFmtId="0" fontId="8" fillId="6" borderId="23" xfId="3" applyFont="1" applyFill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3" xfId="3" applyFont="1" applyBorder="1" applyAlignment="1">
      <alignment horizontal="center" vertical="center"/>
    </xf>
    <xf numFmtId="1" fontId="8" fillId="6" borderId="24" xfId="1" applyNumberFormat="1" applyFont="1" applyFill="1" applyBorder="1" applyAlignment="1">
      <alignment horizontal="center" vertical="center"/>
    </xf>
    <xf numFmtId="1" fontId="8" fillId="0" borderId="23" xfId="1" applyNumberFormat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8" fillId="7" borderId="28" xfId="1" applyFont="1" applyFill="1" applyBorder="1" applyAlignment="1">
      <alignment horizontal="center" vertical="center"/>
    </xf>
    <xf numFmtId="0" fontId="8" fillId="8" borderId="29" xfId="1" applyFont="1" applyFill="1" applyBorder="1" applyAlignment="1">
      <alignment horizontal="center" vertical="center"/>
    </xf>
    <xf numFmtId="0" fontId="8" fillId="9" borderId="29" xfId="1" applyFont="1" applyFill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1" fontId="8" fillId="6" borderId="2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8" fillId="0" borderId="24" xfId="1" applyNumberFormat="1" applyFont="1" applyBorder="1" applyAlignment="1">
      <alignment horizontal="center" vertical="center"/>
    </xf>
    <xf numFmtId="0" fontId="3" fillId="0" borderId="0" xfId="1" applyFont="1"/>
    <xf numFmtId="0" fontId="8" fillId="0" borderId="20" xfId="1" applyFont="1" applyBorder="1" applyAlignment="1">
      <alignment horizontal="center"/>
    </xf>
    <xf numFmtId="0" fontId="1" fillId="0" borderId="32" xfId="1" applyBorder="1"/>
    <xf numFmtId="0" fontId="1" fillId="0" borderId="33" xfId="1" applyBorder="1"/>
    <xf numFmtId="0" fontId="0" fillId="0" borderId="34" xfId="0" applyBorder="1"/>
    <xf numFmtId="0" fontId="1" fillId="0" borderId="35" xfId="1" applyBorder="1" applyAlignment="1">
      <alignment horizont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7" borderId="37" xfId="1" applyFont="1" applyFill="1" applyBorder="1" applyAlignment="1">
      <alignment horizontal="center" vertical="center"/>
    </xf>
    <xf numFmtId="0" fontId="8" fillId="8" borderId="36" xfId="1" applyFont="1" applyFill="1" applyBorder="1" applyAlignment="1">
      <alignment horizontal="center" vertical="center"/>
    </xf>
    <xf numFmtId="0" fontId="8" fillId="9" borderId="36" xfId="1" applyFont="1" applyFill="1" applyBorder="1" applyAlignment="1">
      <alignment horizontal="center" vertical="center"/>
    </xf>
    <xf numFmtId="0" fontId="8" fillId="0" borderId="36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8" fillId="8" borderId="23" xfId="3" applyFont="1" applyFill="1" applyBorder="1" applyAlignment="1">
      <alignment horizontal="center" vertical="center"/>
    </xf>
    <xf numFmtId="0" fontId="1" fillId="0" borderId="18" xfId="1" applyBorder="1"/>
    <xf numFmtId="0" fontId="8" fillId="0" borderId="18" xfId="3" applyFont="1" applyBorder="1"/>
    <xf numFmtId="0" fontId="8" fillId="0" borderId="40" xfId="3" applyFont="1" applyBorder="1"/>
    <xf numFmtId="0" fontId="0" fillId="0" borderId="34" xfId="0" applyBorder="1" applyAlignment="1">
      <alignment horizontal="left"/>
    </xf>
    <xf numFmtId="0" fontId="1" fillId="8" borderId="14" xfId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3" fillId="8" borderId="14" xfId="1" applyFont="1" applyFill="1" applyBorder="1" applyAlignment="1">
      <alignment horizontal="center" vertical="center"/>
    </xf>
    <xf numFmtId="0" fontId="14" fillId="0" borderId="0" xfId="5" applyFont="1"/>
    <xf numFmtId="0" fontId="15" fillId="11" borderId="7" xfId="2" applyFont="1" applyFill="1" applyBorder="1" applyAlignment="1">
      <alignment vertical="center"/>
    </xf>
    <xf numFmtId="0" fontId="15" fillId="11" borderId="1" xfId="2" applyFont="1" applyFill="1" applyBorder="1" applyAlignment="1">
      <alignment horizontal="left" vertical="center"/>
    </xf>
    <xf numFmtId="0" fontId="13" fillId="11" borderId="1" xfId="0" applyFont="1" applyFill="1" applyBorder="1"/>
    <xf numFmtId="0" fontId="16" fillId="11" borderId="4" xfId="0" applyFont="1" applyFill="1" applyBorder="1"/>
    <xf numFmtId="0" fontId="16" fillId="11" borderId="5" xfId="0" applyFont="1" applyFill="1" applyBorder="1"/>
    <xf numFmtId="0" fontId="0" fillId="11" borderId="6" xfId="0" applyFill="1" applyBorder="1"/>
    <xf numFmtId="0" fontId="17" fillId="11" borderId="16" xfId="2" applyFont="1" applyFill="1" applyBorder="1" applyAlignment="1">
      <alignment vertical="center"/>
    </xf>
    <xf numFmtId="0" fontId="17" fillId="11" borderId="11" xfId="2" applyFont="1" applyFill="1" applyBorder="1" applyAlignment="1">
      <alignment horizontal="left" vertical="center"/>
    </xf>
    <xf numFmtId="0" fontId="0" fillId="11" borderId="16" xfId="0" applyFill="1" applyBorder="1"/>
    <xf numFmtId="0" fontId="0" fillId="11" borderId="14" xfId="0" applyFill="1" applyBorder="1"/>
    <xf numFmtId="0" fontId="0" fillId="8" borderId="0" xfId="0" applyFill="1"/>
    <xf numFmtId="0" fontId="0" fillId="8" borderId="41" xfId="0" applyFill="1" applyBorder="1"/>
    <xf numFmtId="0" fontId="0" fillId="8" borderId="8" xfId="0" applyFill="1" applyBorder="1"/>
    <xf numFmtId="0" fontId="0" fillId="8" borderId="9" xfId="0" applyFill="1" applyBorder="1"/>
    <xf numFmtId="0" fontId="19" fillId="8" borderId="21" xfId="2" applyFont="1" applyFill="1" applyBorder="1" applyAlignment="1">
      <alignment horizontal="left" vertical="center"/>
    </xf>
    <xf numFmtId="0" fontId="19" fillId="8" borderId="22" xfId="2" applyFont="1" applyFill="1" applyBorder="1" applyAlignment="1">
      <alignment horizontal="left" vertical="center"/>
    </xf>
    <xf numFmtId="0" fontId="19" fillId="8" borderId="0" xfId="2" applyFont="1" applyFill="1" applyAlignment="1">
      <alignment horizontal="center" vertical="center"/>
    </xf>
    <xf numFmtId="0" fontId="20" fillId="0" borderId="18" xfId="0" applyFont="1" applyBorder="1" applyAlignment="1">
      <alignment vertical="center"/>
    </xf>
    <xf numFmtId="0" fontId="20" fillId="12" borderId="20" xfId="0" applyFont="1" applyFill="1" applyBorder="1"/>
    <xf numFmtId="0" fontId="20" fillId="13" borderId="43" xfId="0" applyFont="1" applyFill="1" applyBorder="1"/>
    <xf numFmtId="0" fontId="19" fillId="8" borderId="20" xfId="2" applyFont="1" applyFill="1" applyBorder="1" applyAlignment="1">
      <alignment horizontal="left" vertical="center"/>
    </xf>
    <xf numFmtId="0" fontId="19" fillId="8" borderId="43" xfId="2" applyFont="1" applyFill="1" applyBorder="1" applyAlignment="1">
      <alignment horizontal="left" vertical="center"/>
    </xf>
    <xf numFmtId="0" fontId="19" fillId="8" borderId="0" xfId="0" applyFont="1" applyFill="1" applyAlignment="1">
      <alignment vertical="center"/>
    </xf>
    <xf numFmtId="0" fontId="17" fillId="8" borderId="45" xfId="2" applyFont="1" applyFill="1" applyBorder="1" applyAlignment="1">
      <alignment horizontal="left" vertical="center"/>
    </xf>
    <xf numFmtId="0" fontId="0" fillId="8" borderId="46" xfId="0" applyFill="1" applyBorder="1"/>
    <xf numFmtId="0" fontId="19" fillId="8" borderId="46" xfId="2" applyFont="1" applyFill="1" applyBorder="1" applyAlignment="1">
      <alignment horizontal="left" vertical="center"/>
    </xf>
    <xf numFmtId="0" fontId="19" fillId="8" borderId="47" xfId="2" applyFont="1" applyFill="1" applyBorder="1" applyAlignment="1">
      <alignment horizontal="left" vertical="center"/>
    </xf>
    <xf numFmtId="0" fontId="17" fillId="8" borderId="8" xfId="2" applyFont="1" applyFill="1" applyBorder="1" applyAlignment="1">
      <alignment horizontal="left" vertical="center"/>
    </xf>
    <xf numFmtId="0" fontId="19" fillId="8" borderId="8" xfId="2" applyFont="1" applyFill="1" applyBorder="1" applyAlignment="1">
      <alignment horizontal="center" vertical="center"/>
    </xf>
    <xf numFmtId="0" fontId="19" fillId="8" borderId="5" xfId="2" applyFont="1" applyFill="1" applyBorder="1" applyAlignment="1">
      <alignment horizontal="center" vertical="center"/>
    </xf>
    <xf numFmtId="0" fontId="0" fillId="8" borderId="5" xfId="0" applyFill="1" applyBorder="1"/>
    <xf numFmtId="0" fontId="0" fillId="8" borderId="6" xfId="0" applyFill="1" applyBorder="1"/>
    <xf numFmtId="0" fontId="19" fillId="8" borderId="48" xfId="2" applyFont="1" applyFill="1" applyBorder="1" applyAlignment="1">
      <alignment horizontal="left" vertical="center"/>
    </xf>
    <xf numFmtId="0" fontId="19" fillId="8" borderId="49" xfId="2" applyFont="1" applyFill="1" applyBorder="1" applyAlignment="1">
      <alignment horizontal="center" vertical="center"/>
    </xf>
    <xf numFmtId="0" fontId="19" fillId="8" borderId="43" xfId="2" applyFont="1" applyFill="1" applyBorder="1" applyAlignment="1">
      <alignment horizontal="center" vertical="center"/>
    </xf>
    <xf numFmtId="0" fontId="17" fillId="8" borderId="16" xfId="2" applyFont="1" applyFill="1" applyBorder="1" applyAlignment="1">
      <alignment horizontal="left" vertical="center"/>
    </xf>
    <xf numFmtId="0" fontId="19" fillId="8" borderId="16" xfId="2" applyFont="1" applyFill="1" applyBorder="1" applyAlignment="1">
      <alignment horizontal="left" vertical="center"/>
    </xf>
    <xf numFmtId="0" fontId="19" fillId="8" borderId="16" xfId="2" applyFont="1" applyFill="1" applyBorder="1" applyAlignment="1">
      <alignment horizontal="center" vertical="center"/>
    </xf>
    <xf numFmtId="0" fontId="19" fillId="8" borderId="14" xfId="2" applyFont="1" applyFill="1" applyBorder="1" applyAlignment="1">
      <alignment horizontal="center" vertical="center"/>
    </xf>
    <xf numFmtId="0" fontId="0" fillId="8" borderId="16" xfId="0" applyFill="1" applyBorder="1"/>
    <xf numFmtId="0" fontId="0" fillId="8" borderId="14" xfId="0" applyFill="1" applyBorder="1"/>
    <xf numFmtId="0" fontId="22" fillId="0" borderId="18" xfId="0" applyFont="1" applyBorder="1" applyAlignment="1">
      <alignment vertical="center"/>
    </xf>
    <xf numFmtId="0" fontId="25" fillId="12" borderId="20" xfId="0" applyFont="1" applyFill="1" applyBorder="1"/>
    <xf numFmtId="0" fontId="25" fillId="13" borderId="43" xfId="0" applyFont="1" applyFill="1" applyBorder="1"/>
    <xf numFmtId="0" fontId="26" fillId="8" borderId="0" xfId="0" applyFont="1" applyFill="1"/>
    <xf numFmtId="0" fontId="8" fillId="8" borderId="0" xfId="0" applyFont="1" applyFill="1"/>
    <xf numFmtId="0" fontId="21" fillId="0" borderId="50" xfId="0" applyFont="1" applyBorder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21" fillId="0" borderId="50" xfId="0" applyFont="1" applyBorder="1" applyAlignment="1">
      <alignment vertical="center"/>
    </xf>
    <xf numFmtId="0" fontId="21" fillId="0" borderId="44" xfId="0" applyFont="1" applyBorder="1" applyAlignment="1">
      <alignment vertical="center"/>
    </xf>
    <xf numFmtId="0" fontId="20" fillId="11" borderId="20" xfId="0" applyFont="1" applyFill="1" applyBorder="1"/>
    <xf numFmtId="0" fontId="27" fillId="8" borderId="0" xfId="0" applyFont="1" applyFill="1"/>
    <xf numFmtId="0" fontId="28" fillId="8" borderId="51" xfId="0" applyFont="1" applyFill="1" applyBorder="1"/>
    <xf numFmtId="0" fontId="32" fillId="0" borderId="0" xfId="5" applyFont="1"/>
    <xf numFmtId="0" fontId="0" fillId="8" borderId="51" xfId="0" applyFill="1" applyBorder="1"/>
    <xf numFmtId="0" fontId="34" fillId="0" borderId="0" xfId="0" applyFont="1"/>
    <xf numFmtId="0" fontId="0" fillId="8" borderId="15" xfId="0" applyFill="1" applyBorder="1"/>
    <xf numFmtId="0" fontId="36" fillId="8" borderId="15" xfId="0" applyFont="1" applyFill="1" applyBorder="1" applyAlignment="1">
      <alignment vertical="center"/>
    </xf>
    <xf numFmtId="0" fontId="19" fillId="8" borderId="0" xfId="2" applyFont="1" applyFill="1" applyAlignment="1">
      <alignment vertical="center"/>
    </xf>
    <xf numFmtId="0" fontId="0" fillId="11" borderId="9" xfId="0" applyFill="1" applyBorder="1" applyAlignment="1">
      <alignment horizontal="center"/>
    </xf>
    <xf numFmtId="0" fontId="38" fillId="8" borderId="8" xfId="5" applyFont="1" applyFill="1" applyBorder="1"/>
    <xf numFmtId="0" fontId="19" fillId="8" borderId="8" xfId="0" applyFont="1" applyFill="1" applyBorder="1" applyAlignment="1">
      <alignment vertical="center"/>
    </xf>
    <xf numFmtId="0" fontId="19" fillId="8" borderId="8" xfId="2" applyFont="1" applyFill="1" applyBorder="1" applyAlignment="1">
      <alignment vertical="center"/>
    </xf>
    <xf numFmtId="0" fontId="29" fillId="8" borderId="0" xfId="5" applyFont="1" applyFill="1"/>
    <xf numFmtId="0" fontId="39" fillId="8" borderId="0" xfId="2" applyFont="1" applyFill="1" applyAlignment="1">
      <alignment vertical="center"/>
    </xf>
    <xf numFmtId="0" fontId="14" fillId="8" borderId="0" xfId="5" applyFont="1" applyFill="1"/>
    <xf numFmtId="0" fontId="14" fillId="0" borderId="0" xfId="0" applyFont="1"/>
    <xf numFmtId="0" fontId="29" fillId="0" borderId="0" xfId="6" applyFont="1"/>
    <xf numFmtId="0" fontId="40" fillId="0" borderId="0" xfId="0" applyFont="1" applyAlignment="1">
      <alignment horizontal="left" vertical="center"/>
    </xf>
    <xf numFmtId="0" fontId="29" fillId="8" borderId="0" xfId="5" applyFont="1" applyFill="1" applyAlignment="1">
      <alignment horizontal="left"/>
    </xf>
    <xf numFmtId="0" fontId="14" fillId="0" borderId="0" xfId="0" applyFont="1" applyAlignment="1">
      <alignment vertical="center"/>
    </xf>
    <xf numFmtId="0" fontId="29" fillId="8" borderId="0" xfId="5" applyFont="1" applyFill="1" applyAlignment="1">
      <alignment horizontal="center"/>
    </xf>
    <xf numFmtId="0" fontId="41" fillId="10" borderId="16" xfId="0" applyFont="1" applyFill="1" applyBorder="1" applyAlignment="1">
      <alignment horizontal="left"/>
    </xf>
    <xf numFmtId="0" fontId="20" fillId="10" borderId="16" xfId="0" applyFont="1" applyFill="1" applyBorder="1" applyAlignment="1">
      <alignment horizontal="left"/>
    </xf>
    <xf numFmtId="0" fontId="4" fillId="10" borderId="16" xfId="0" applyFont="1" applyFill="1" applyBorder="1" applyAlignment="1">
      <alignment horizontal="left"/>
    </xf>
    <xf numFmtId="0" fontId="4" fillId="10" borderId="14" xfId="0" applyFont="1" applyFill="1" applyBorder="1" applyAlignment="1">
      <alignment horizontal="left"/>
    </xf>
    <xf numFmtId="0" fontId="9" fillId="8" borderId="0" xfId="0" applyFont="1" applyFill="1"/>
    <xf numFmtId="0" fontId="9" fillId="0" borderId="0" xfId="0" applyFont="1" applyAlignment="1">
      <alignment vertical="center"/>
    </xf>
    <xf numFmtId="0" fontId="13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left"/>
    </xf>
    <xf numFmtId="0" fontId="4" fillId="10" borderId="6" xfId="0" applyFont="1" applyFill="1" applyBorder="1" applyAlignment="1">
      <alignment horizontal="left"/>
    </xf>
    <xf numFmtId="0" fontId="17" fillId="8" borderId="7" xfId="0" applyFont="1" applyFill="1" applyBorder="1"/>
    <xf numFmtId="0" fontId="4" fillId="0" borderId="0" xfId="0" applyFont="1" applyAlignment="1">
      <alignment horizontal="left"/>
    </xf>
    <xf numFmtId="0" fontId="4" fillId="0" borderId="41" xfId="0" applyFont="1" applyBorder="1" applyAlignment="1">
      <alignment horizontal="left"/>
    </xf>
    <xf numFmtId="0" fontId="0" fillId="0" borderId="51" xfId="0" applyBorder="1"/>
    <xf numFmtId="0" fontId="17" fillId="11" borderId="10" xfId="2" applyFont="1" applyFill="1" applyBorder="1" applyAlignment="1">
      <alignment horizontal="left" vertical="center"/>
    </xf>
    <xf numFmtId="0" fontId="1" fillId="0" borderId="23" xfId="3" applyFont="1" applyBorder="1" applyAlignment="1">
      <alignment horizontal="center" vertical="center"/>
    </xf>
    <xf numFmtId="0" fontId="1" fillId="6" borderId="23" xfId="3" applyFont="1" applyFill="1" applyBorder="1" applyAlignment="1">
      <alignment horizontal="center" vertical="center"/>
    </xf>
    <xf numFmtId="0" fontId="3" fillId="6" borderId="23" xfId="3" applyFont="1" applyFill="1" applyBorder="1" applyAlignment="1">
      <alignment horizontal="center" vertical="center"/>
    </xf>
    <xf numFmtId="0" fontId="7" fillId="0" borderId="0" xfId="1" applyFont="1"/>
    <xf numFmtId="0" fontId="17" fillId="11" borderId="53" xfId="0" applyFont="1" applyFill="1" applyBorder="1" applyAlignment="1">
      <alignment horizontal="center" vertical="center"/>
    </xf>
    <xf numFmtId="0" fontId="17" fillId="11" borderId="52" xfId="0" applyFont="1" applyFill="1" applyBorder="1" applyAlignment="1">
      <alignment horizontal="center" vertical="center"/>
    </xf>
    <xf numFmtId="0" fontId="17" fillId="11" borderId="52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164" fontId="30" fillId="0" borderId="10" xfId="0" applyNumberFormat="1" applyFont="1" applyBorder="1" applyAlignment="1">
      <alignment horizontal="center" vertical="center"/>
    </xf>
    <xf numFmtId="164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164" fontId="31" fillId="14" borderId="10" xfId="0" applyNumberFormat="1" applyFont="1" applyFill="1" applyBorder="1" applyAlignment="1">
      <alignment horizontal="center" vertical="center"/>
    </xf>
    <xf numFmtId="0" fontId="31" fillId="14" borderId="1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33" fillId="8" borderId="0" xfId="0" applyFont="1" applyFill="1"/>
    <xf numFmtId="0" fontId="26" fillId="8" borderId="0" xfId="2" applyFont="1" applyFill="1" applyAlignment="1">
      <alignment vertical="center"/>
    </xf>
    <xf numFmtId="0" fontId="35" fillId="8" borderId="41" xfId="0" applyFont="1" applyFill="1" applyBorder="1"/>
    <xf numFmtId="0" fontId="4" fillId="0" borderId="0" xfId="1" applyFont="1" applyAlignment="1">
      <alignment vertical="center" wrapText="1"/>
    </xf>
    <xf numFmtId="0" fontId="1" fillId="0" borderId="0" xfId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/>
    </xf>
    <xf numFmtId="0" fontId="7" fillId="0" borderId="0" xfId="1" applyFont="1" applyAlignment="1">
      <alignment horizontal="left" vertical="top" wrapText="1"/>
    </xf>
    <xf numFmtId="0" fontId="9" fillId="4" borderId="4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right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 wrapText="1"/>
    </xf>
    <xf numFmtId="0" fontId="9" fillId="4" borderId="11" xfId="1" applyFont="1" applyFill="1" applyBorder="1" applyAlignment="1">
      <alignment horizontal="center" wrapText="1"/>
    </xf>
    <xf numFmtId="0" fontId="8" fillId="0" borderId="28" xfId="1" applyFont="1" applyBorder="1"/>
    <xf numFmtId="0" fontId="8" fillId="0" borderId="30" xfId="1" applyFont="1" applyBorder="1"/>
    <xf numFmtId="0" fontId="8" fillId="0" borderId="31" xfId="1" applyFont="1" applyBorder="1"/>
    <xf numFmtId="0" fontId="9" fillId="4" borderId="1" xfId="1" applyFont="1" applyFill="1" applyBorder="1" applyAlignment="1">
      <alignment horizontal="center"/>
    </xf>
    <xf numFmtId="0" fontId="9" fillId="4" borderId="11" xfId="1" applyFont="1" applyFill="1" applyBorder="1" applyAlignment="1">
      <alignment horizontal="center"/>
    </xf>
    <xf numFmtId="0" fontId="1" fillId="0" borderId="37" xfId="1" applyBorder="1"/>
    <xf numFmtId="0" fontId="1" fillId="0" borderId="38" xfId="1" applyBorder="1"/>
    <xf numFmtId="0" fontId="1" fillId="0" borderId="39" xfId="1" applyBorder="1"/>
    <xf numFmtId="0" fontId="1" fillId="0" borderId="28" xfId="1" applyBorder="1"/>
    <xf numFmtId="0" fontId="1" fillId="0" borderId="30" xfId="1" applyBorder="1"/>
    <xf numFmtId="0" fontId="1" fillId="0" borderId="31" xfId="1" applyBorder="1"/>
    <xf numFmtId="0" fontId="1" fillId="0" borderId="37" xfId="1" applyBorder="1" applyAlignment="1">
      <alignment horizontal="center" vertical="center"/>
    </xf>
    <xf numFmtId="0" fontId="1" fillId="0" borderId="38" xfId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21" fillId="0" borderId="20" xfId="0" applyFont="1" applyBorder="1" applyAlignment="1">
      <alignment horizontal="left" vertical="center"/>
    </xf>
    <xf numFmtId="0" fontId="21" fillId="0" borderId="20" xfId="0" applyFont="1" applyBorder="1" applyAlignment="1">
      <alignment vertical="center"/>
    </xf>
    <xf numFmtId="0" fontId="19" fillId="8" borderId="30" xfId="2" applyFont="1" applyFill="1" applyBorder="1" applyAlignment="1">
      <alignment horizontal="left" vertical="center"/>
    </xf>
    <xf numFmtId="0" fontId="19" fillId="8" borderId="44" xfId="2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left"/>
    </xf>
    <xf numFmtId="0" fontId="12" fillId="10" borderId="5" xfId="0" applyFont="1" applyFill="1" applyBorder="1" applyAlignment="1">
      <alignment horizontal="left"/>
    </xf>
    <xf numFmtId="0" fontId="12" fillId="10" borderId="8" xfId="0" applyFont="1" applyFill="1" applyBorder="1" applyAlignment="1">
      <alignment horizontal="left"/>
    </xf>
    <xf numFmtId="0" fontId="12" fillId="10" borderId="9" xfId="0" applyFont="1" applyFill="1" applyBorder="1" applyAlignment="1">
      <alignment horizontal="left"/>
    </xf>
    <xf numFmtId="0" fontId="13" fillId="10" borderId="4" xfId="0" applyFont="1" applyFill="1" applyBorder="1" applyAlignment="1">
      <alignment horizontal="left"/>
    </xf>
    <xf numFmtId="0" fontId="13" fillId="10" borderId="5" xfId="0" applyFont="1" applyFill="1" applyBorder="1" applyAlignment="1">
      <alignment horizontal="left"/>
    </xf>
    <xf numFmtId="0" fontId="13" fillId="10" borderId="6" xfId="0" applyFont="1" applyFill="1" applyBorder="1" applyAlignment="1">
      <alignment horizontal="left"/>
    </xf>
    <xf numFmtId="0" fontId="15" fillId="11" borderId="7" xfId="2" applyFont="1" applyFill="1" applyBorder="1" applyAlignment="1">
      <alignment horizontal="left" vertical="center"/>
    </xf>
    <xf numFmtId="0" fontId="15" fillId="11" borderId="8" xfId="2" applyFont="1" applyFill="1" applyBorder="1" applyAlignment="1">
      <alignment horizontal="left" vertical="center"/>
    </xf>
    <xf numFmtId="0" fontId="15" fillId="11" borderId="9" xfId="2" applyFont="1" applyFill="1" applyBorder="1" applyAlignment="1">
      <alignment horizontal="left" vertical="center"/>
    </xf>
    <xf numFmtId="0" fontId="18" fillId="0" borderId="25" xfId="4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9" fillId="8" borderId="26" xfId="2" applyFont="1" applyFill="1" applyBorder="1" applyAlignment="1">
      <alignment horizontal="left" vertical="center"/>
    </xf>
    <xf numFmtId="0" fontId="19" fillId="8" borderId="42" xfId="2" applyFont="1" applyFill="1" applyBorder="1" applyAlignment="1">
      <alignment horizontal="left" vertical="center"/>
    </xf>
    <xf numFmtId="0" fontId="29" fillId="8" borderId="4" xfId="0" applyFont="1" applyFill="1" applyBorder="1" applyAlignment="1">
      <alignment vertical="center"/>
    </xf>
    <xf numFmtId="0" fontId="29" fillId="8" borderId="5" xfId="0" applyFont="1" applyFill="1" applyBorder="1" applyAlignment="1">
      <alignment vertical="center"/>
    </xf>
    <xf numFmtId="0" fontId="29" fillId="8" borderId="6" xfId="0" applyFont="1" applyFill="1" applyBorder="1" applyAlignment="1">
      <alignment vertical="center"/>
    </xf>
    <xf numFmtId="0" fontId="29" fillId="8" borderId="15" xfId="0" applyFont="1" applyFill="1" applyBorder="1" applyAlignment="1">
      <alignment vertical="center"/>
    </xf>
    <xf numFmtId="0" fontId="29" fillId="8" borderId="16" xfId="0" applyFont="1" applyFill="1" applyBorder="1" applyAlignment="1">
      <alignment vertical="center"/>
    </xf>
    <xf numFmtId="0" fontId="29" fillId="8" borderId="53" xfId="0" applyFont="1" applyFill="1" applyBorder="1" applyAlignment="1">
      <alignment vertical="center"/>
    </xf>
    <xf numFmtId="0" fontId="37" fillId="11" borderId="4" xfId="0" applyFont="1" applyFill="1" applyBorder="1" applyAlignment="1">
      <alignment vertical="center" wrapText="1"/>
    </xf>
    <xf numFmtId="0" fontId="37" fillId="11" borderId="5" xfId="0" applyFont="1" applyFill="1" applyBorder="1" applyAlignment="1">
      <alignment vertical="center" wrapText="1"/>
    </xf>
    <xf numFmtId="0" fontId="23" fillId="0" borderId="50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23" fillId="0" borderId="44" xfId="0" applyFont="1" applyBorder="1" applyAlignment="1">
      <alignment horizontal="left" vertical="center"/>
    </xf>
    <xf numFmtId="0" fontId="24" fillId="0" borderId="50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17" fillId="11" borderId="5" xfId="0" applyFont="1" applyFill="1" applyBorder="1" applyAlignment="1">
      <alignment horizontal="left" vertical="center"/>
    </xf>
    <xf numFmtId="0" fontId="17" fillId="11" borderId="6" xfId="0" applyFont="1" applyFill="1" applyBorder="1" applyAlignment="1">
      <alignment horizontal="left" vertical="center"/>
    </xf>
    <xf numFmtId="0" fontId="17" fillId="11" borderId="16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29" fillId="8" borderId="8" xfId="0" applyFont="1" applyFill="1" applyBorder="1" applyAlignment="1">
      <alignment vertical="center"/>
    </xf>
    <xf numFmtId="0" fontId="29" fillId="8" borderId="54" xfId="0" applyFont="1" applyFill="1" applyBorder="1" applyAlignment="1">
      <alignment vertical="center"/>
    </xf>
  </cellXfs>
  <cellStyles count="7">
    <cellStyle name="_x0004_" xfId="2" xr:uid="{45FFCC56-11FC-464C-AF67-A8F2358273B7}"/>
    <cellStyle name="_x0004_ 2" xfId="6" xr:uid="{188142B9-6506-486A-BA11-1125873EB1AE}"/>
    <cellStyle name="Hyperlink" xfId="4" builtinId="8"/>
    <cellStyle name="Normal" xfId="0" builtinId="0"/>
    <cellStyle name="Normal 2" xfId="3" xr:uid="{471D4DFB-828B-4753-BCDA-D21FFC638CEB}"/>
    <cellStyle name="Normal 3" xfId="1" xr:uid="{EF27C701-4237-4068-9ADA-A6CDAE55A88A}"/>
    <cellStyle name="Normal_AAX NEW RATES 3RD 06" xfId="5" xr:uid="{9866DC64-55C8-49E7-88F9-32FED155C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89647</xdr:rowOff>
    </xdr:from>
    <xdr:to>
      <xdr:col>0</xdr:col>
      <xdr:colOff>943264</xdr:colOff>
      <xdr:row>3</xdr:row>
      <xdr:rowOff>173830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E4F4A6E-7B3F-45BD-AA7A-52AF86FF5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3457"/>
          <a:ext cx="933739" cy="651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nl.com.au/ebusiness/tariffs/charge-fin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6E7F-BFAC-4674-A20C-AB4928C947BF}">
  <sheetPr>
    <tabColor rgb="FF00B050"/>
    <pageSetUpPr fitToPage="1"/>
  </sheetPr>
  <dimension ref="A1:AR131"/>
  <sheetViews>
    <sheetView tabSelected="1" zoomScale="80" zoomScaleNormal="80" workbookViewId="0">
      <selection activeCell="E34" sqref="E34"/>
    </sheetView>
  </sheetViews>
  <sheetFormatPr defaultColWidth="9.28515625" defaultRowHeight="15" x14ac:dyDescent="0.25"/>
  <cols>
    <col min="1" max="1" width="15.28515625" style="1" customWidth="1"/>
    <col min="2" max="2" width="58.42578125" style="1" customWidth="1"/>
    <col min="3" max="3" width="18.28515625" customWidth="1"/>
    <col min="4" max="4" width="20.7109375" style="1" customWidth="1"/>
    <col min="5" max="5" width="18" style="1" bestFit="1" customWidth="1"/>
    <col min="6" max="6" width="14" style="1" customWidth="1"/>
    <col min="7" max="8" width="8.42578125" style="5" customWidth="1"/>
    <col min="9" max="9" width="8.42578125" style="64" customWidth="1"/>
    <col min="10" max="11" width="8.42578125" style="5" customWidth="1"/>
    <col min="12" max="12" width="8.42578125" style="64" customWidth="1"/>
    <col min="13" max="21" width="8.42578125" style="5" customWidth="1"/>
    <col min="22" max="25" width="8.42578125" style="1" customWidth="1"/>
    <col min="26" max="28" width="3.7109375" style="1" customWidth="1"/>
    <col min="29" max="29" width="4.28515625" style="1" customWidth="1"/>
    <col min="30" max="34" width="12.7109375" style="2" customWidth="1"/>
    <col min="35" max="35" width="14.5703125" style="2" bestFit="1" customWidth="1"/>
    <col min="36" max="36" width="4.28515625" style="2" customWidth="1"/>
    <col min="37" max="38" width="12.28515625" style="2" customWidth="1"/>
    <col min="39" max="39" width="12.7109375" style="2" customWidth="1"/>
    <col min="40" max="40" width="14.5703125" style="2" bestFit="1" customWidth="1"/>
    <col min="41" max="41" width="9.28515625" style="1"/>
    <col min="42" max="42" width="19.42578125" style="1" bestFit="1" customWidth="1"/>
    <col min="43" max="43" width="12.7109375" style="2" customWidth="1"/>
    <col min="44" max="44" width="14.5703125" style="1" bestFit="1" customWidth="1"/>
    <col min="45" max="16384" width="9.28515625" style="1"/>
  </cols>
  <sheetData>
    <row r="1" spans="1:44" ht="15" customHeight="1" x14ac:dyDescent="0.25">
      <c r="A1" s="174"/>
      <c r="B1" s="175" t="s">
        <v>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</row>
    <row r="2" spans="1:44" ht="15" customHeight="1" x14ac:dyDescent="0.25">
      <c r="A2" s="174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</row>
    <row r="3" spans="1:44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</row>
    <row r="4" spans="1:44" ht="18.75" x14ac:dyDescent="0.3">
      <c r="A4" s="174"/>
      <c r="B4" s="176" t="s">
        <v>1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</row>
    <row r="5" spans="1:44" ht="15" customHeight="1" x14ac:dyDescent="0.25">
      <c r="A5" s="177" t="s">
        <v>240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</row>
    <row r="6" spans="1:44" ht="15" customHeight="1" x14ac:dyDescent="0.25">
      <c r="A6" s="173" t="s">
        <v>2</v>
      </c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</row>
    <row r="7" spans="1:44" ht="15" customHeight="1" x14ac:dyDescent="0.25">
      <c r="A7" s="173" t="s">
        <v>3</v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</row>
    <row r="8" spans="1:44" x14ac:dyDescent="0.25">
      <c r="A8" s="180" t="s">
        <v>241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</row>
    <row r="9" spans="1:44" x14ac:dyDescent="0.25">
      <c r="A9" s="3" t="s">
        <v>4</v>
      </c>
    </row>
    <row r="10" spans="1:44" x14ac:dyDescent="0.25">
      <c r="A10" s="3" t="s">
        <v>5</v>
      </c>
      <c r="B10" s="3"/>
      <c r="C10" s="4"/>
    </row>
    <row r="11" spans="1:44" x14ac:dyDescent="0.25">
      <c r="A11" s="159" t="s">
        <v>239</v>
      </c>
      <c r="B11" s="3"/>
      <c r="C11" s="4"/>
      <c r="I11" s="5"/>
      <c r="J11" s="64"/>
      <c r="L11" s="5"/>
      <c r="P11" s="1"/>
      <c r="Q11" s="1"/>
      <c r="R11" s="1"/>
      <c r="S11" s="1"/>
      <c r="T11" s="1"/>
      <c r="U11" s="2"/>
      <c r="V11" s="2"/>
      <c r="W11" s="2"/>
      <c r="X11" s="2"/>
      <c r="Y11" s="2"/>
      <c r="Z11" s="2"/>
      <c r="AA11" s="2"/>
      <c r="AB11" s="2"/>
      <c r="AC11" s="2"/>
      <c r="AF11" s="1"/>
      <c r="AG11" s="1"/>
      <c r="AI11" s="1"/>
      <c r="AJ11" s="1"/>
      <c r="AK11" s="1"/>
      <c r="AL11" s="1"/>
      <c r="AM11" s="1"/>
      <c r="AN11" s="1"/>
      <c r="AQ11" s="1"/>
    </row>
    <row r="12" spans="1:44" x14ac:dyDescent="0.25">
      <c r="C12" s="6" t="s">
        <v>6</v>
      </c>
      <c r="D12" s="7" t="s">
        <v>7</v>
      </c>
    </row>
    <row r="13" spans="1:44" x14ac:dyDescent="0.25">
      <c r="A13" s="3" t="s">
        <v>8</v>
      </c>
      <c r="B13" s="181" t="s">
        <v>236</v>
      </c>
      <c r="C13" s="8">
        <v>424</v>
      </c>
      <c r="D13" s="9">
        <f>C13*2</f>
        <v>848</v>
      </c>
    </row>
    <row r="14" spans="1:44" x14ac:dyDescent="0.25">
      <c r="A14" s="3" t="s">
        <v>9</v>
      </c>
      <c r="B14" s="181"/>
      <c r="C14" s="8">
        <v>508</v>
      </c>
      <c r="D14" s="9">
        <f>C14*2</f>
        <v>1016</v>
      </c>
    </row>
    <row r="15" spans="1:44" ht="15.75" thickBot="1" x14ac:dyDescent="0.3"/>
    <row r="16" spans="1:44" ht="15.6" customHeight="1" thickBot="1" x14ac:dyDescent="0.3">
      <c r="A16" s="182" t="s">
        <v>10</v>
      </c>
      <c r="B16" s="182" t="s">
        <v>11</v>
      </c>
      <c r="C16" s="184" t="s">
        <v>12</v>
      </c>
      <c r="D16" s="186" t="s">
        <v>13</v>
      </c>
      <c r="E16" s="182" t="s">
        <v>14</v>
      </c>
      <c r="F16" s="182" t="s">
        <v>15</v>
      </c>
      <c r="G16" s="188" t="s">
        <v>16</v>
      </c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90"/>
      <c r="V16" s="191" t="s">
        <v>17</v>
      </c>
      <c r="W16" s="192"/>
      <c r="X16" s="192"/>
      <c r="Y16" s="192"/>
      <c r="Z16" s="192"/>
      <c r="AA16" s="192"/>
      <c r="AB16" s="193"/>
      <c r="AD16" s="178" t="s">
        <v>18</v>
      </c>
      <c r="AE16" s="197"/>
      <c r="AF16" s="197"/>
      <c r="AG16" s="179"/>
      <c r="AH16" s="198" t="s">
        <v>19</v>
      </c>
      <c r="AI16" s="203" t="s">
        <v>20</v>
      </c>
      <c r="AK16" s="178" t="s">
        <v>21</v>
      </c>
      <c r="AL16" s="179"/>
      <c r="AM16" s="198" t="s">
        <v>19</v>
      </c>
      <c r="AN16" s="203" t="s">
        <v>20</v>
      </c>
      <c r="AP16" s="10" t="s">
        <v>22</v>
      </c>
      <c r="AQ16" s="198" t="s">
        <v>19</v>
      </c>
      <c r="AR16" s="203" t="s">
        <v>20</v>
      </c>
    </row>
    <row r="17" spans="1:44" ht="15.75" thickBot="1" x14ac:dyDescent="0.3">
      <c r="A17" s="183"/>
      <c r="B17" s="183"/>
      <c r="C17" s="185"/>
      <c r="D17" s="187"/>
      <c r="E17" s="183"/>
      <c r="F17" s="183"/>
      <c r="G17" s="11" t="s">
        <v>23</v>
      </c>
      <c r="H17" s="11" t="s">
        <v>24</v>
      </c>
      <c r="I17" s="12" t="s">
        <v>6</v>
      </c>
      <c r="J17" s="11" t="s">
        <v>23</v>
      </c>
      <c r="K17" s="11" t="s">
        <v>24</v>
      </c>
      <c r="L17" s="12" t="s">
        <v>7</v>
      </c>
      <c r="M17" s="11" t="s">
        <v>23</v>
      </c>
      <c r="N17" s="11" t="s">
        <v>24</v>
      </c>
      <c r="O17" s="12" t="s">
        <v>25</v>
      </c>
      <c r="P17" s="11" t="s">
        <v>23</v>
      </c>
      <c r="Q17" s="11" t="s">
        <v>24</v>
      </c>
      <c r="R17" s="12" t="s">
        <v>26</v>
      </c>
      <c r="S17" s="11" t="s">
        <v>23</v>
      </c>
      <c r="T17" s="11" t="s">
        <v>24</v>
      </c>
      <c r="U17" s="12" t="s">
        <v>27</v>
      </c>
      <c r="V17" s="194"/>
      <c r="W17" s="195"/>
      <c r="X17" s="195"/>
      <c r="Y17" s="195"/>
      <c r="Z17" s="195"/>
      <c r="AA17" s="195"/>
      <c r="AB17" s="196"/>
      <c r="AD17" s="13" t="s">
        <v>28</v>
      </c>
      <c r="AE17" s="13" t="s">
        <v>29</v>
      </c>
      <c r="AF17" s="13" t="s">
        <v>30</v>
      </c>
      <c r="AG17" s="13" t="s">
        <v>31</v>
      </c>
      <c r="AH17" s="199"/>
      <c r="AI17" s="204"/>
      <c r="AK17" s="13" t="s">
        <v>32</v>
      </c>
      <c r="AL17" s="13" t="s">
        <v>29</v>
      </c>
      <c r="AM17" s="199"/>
      <c r="AN17" s="204"/>
      <c r="AP17" s="14" t="s">
        <v>31</v>
      </c>
      <c r="AQ17" s="199"/>
      <c r="AR17" s="204"/>
    </row>
    <row r="18" spans="1:44" ht="14.45" customHeight="1" x14ac:dyDescent="0.25">
      <c r="A18" s="15" t="s">
        <v>33</v>
      </c>
      <c r="B18" s="16" t="s">
        <v>33</v>
      </c>
      <c r="C18" s="17" t="s">
        <v>34</v>
      </c>
      <c r="D18" s="18" t="s">
        <v>35</v>
      </c>
      <c r="E18" s="19" t="s">
        <v>36</v>
      </c>
      <c r="F18" s="20" t="s">
        <v>37</v>
      </c>
      <c r="G18" s="21">
        <v>1276</v>
      </c>
      <c r="H18" s="22">
        <f t="shared" ref="H18:H61" si="0">$C$13</f>
        <v>424</v>
      </c>
      <c r="I18" s="158">
        <f t="shared" ref="I18:I36" si="1">SUM(G18:H18)</f>
        <v>1700</v>
      </c>
      <c r="J18" s="23">
        <f t="shared" ref="J18:J36" si="2">G18*2</f>
        <v>2552</v>
      </c>
      <c r="K18" s="24">
        <f t="shared" ref="K18:K61" si="3">$D$13</f>
        <v>848</v>
      </c>
      <c r="L18" s="24">
        <f t="shared" ref="L18:L36" si="4">SUM(J18:K18)</f>
        <v>3400</v>
      </c>
      <c r="M18" s="23">
        <f t="shared" ref="M18:M36" si="5">J18</f>
        <v>2552</v>
      </c>
      <c r="N18" s="24">
        <f t="shared" ref="N18:N36" si="6">$D$13</f>
        <v>848</v>
      </c>
      <c r="O18" s="24">
        <f t="shared" ref="O18:O36" si="7">SUM(M18:N18)</f>
        <v>3400</v>
      </c>
      <c r="P18" s="25">
        <f>R18-Q18</f>
        <v>766</v>
      </c>
      <c r="Q18" s="25">
        <f t="shared" ref="Q18:Q36" si="8">H18</f>
        <v>424</v>
      </c>
      <c r="R18" s="25">
        <f>I18*0.7</f>
        <v>1190</v>
      </c>
      <c r="S18" s="34">
        <f>P18*2</f>
        <v>1532</v>
      </c>
      <c r="T18" s="34">
        <f t="shared" ref="T18:T36" si="9">K18</f>
        <v>848</v>
      </c>
      <c r="U18" s="34">
        <f>R18*2</f>
        <v>2380</v>
      </c>
      <c r="V18" s="200" t="s">
        <v>38</v>
      </c>
      <c r="W18" s="201"/>
      <c r="X18" s="201"/>
      <c r="Y18" s="201"/>
      <c r="Z18" s="201"/>
      <c r="AA18" s="201"/>
      <c r="AB18" s="202"/>
      <c r="AD18" s="27">
        <v>15</v>
      </c>
      <c r="AE18" s="28">
        <v>21</v>
      </c>
      <c r="AF18" s="29">
        <v>27</v>
      </c>
      <c r="AG18" s="28">
        <v>34</v>
      </c>
      <c r="AH18" s="27"/>
      <c r="AI18" s="30" t="s">
        <v>39</v>
      </c>
      <c r="AK18" s="27">
        <v>13</v>
      </c>
      <c r="AL18" s="28">
        <v>16</v>
      </c>
      <c r="AM18" s="27"/>
      <c r="AN18" s="30" t="s">
        <v>39</v>
      </c>
      <c r="AP18" s="27">
        <v>7</v>
      </c>
      <c r="AQ18" s="28"/>
      <c r="AR18" s="31" t="s">
        <v>39</v>
      </c>
    </row>
    <row r="19" spans="1:44" ht="14.45" customHeight="1" x14ac:dyDescent="0.25">
      <c r="A19" s="15" t="s">
        <v>40</v>
      </c>
      <c r="B19" s="16" t="s">
        <v>41</v>
      </c>
      <c r="C19" s="17" t="s">
        <v>42</v>
      </c>
      <c r="D19" s="18" t="s">
        <v>35</v>
      </c>
      <c r="E19" s="19" t="s">
        <v>36</v>
      </c>
      <c r="F19" s="20" t="s">
        <v>37</v>
      </c>
      <c r="G19" s="21">
        <v>1276</v>
      </c>
      <c r="H19" s="22">
        <f t="shared" si="0"/>
        <v>424</v>
      </c>
      <c r="I19" s="158">
        <f t="shared" si="1"/>
        <v>1700</v>
      </c>
      <c r="J19" s="23">
        <f t="shared" si="2"/>
        <v>2552</v>
      </c>
      <c r="K19" s="24">
        <f t="shared" si="3"/>
        <v>848</v>
      </c>
      <c r="L19" s="24">
        <f t="shared" si="4"/>
        <v>3400</v>
      </c>
      <c r="M19" s="23">
        <f t="shared" si="5"/>
        <v>2552</v>
      </c>
      <c r="N19" s="24">
        <f t="shared" si="6"/>
        <v>848</v>
      </c>
      <c r="O19" s="24">
        <f t="shared" si="7"/>
        <v>3400</v>
      </c>
      <c r="P19" s="25">
        <f t="shared" ref="P19:P61" si="10">R19-Q19</f>
        <v>766</v>
      </c>
      <c r="Q19" s="25">
        <f t="shared" si="8"/>
        <v>424</v>
      </c>
      <c r="R19" s="25">
        <f t="shared" ref="R19:R61" si="11">I19*0.7</f>
        <v>1190</v>
      </c>
      <c r="S19" s="34">
        <f t="shared" ref="S19:S36" si="12">P19*2</f>
        <v>1532</v>
      </c>
      <c r="T19" s="34">
        <f t="shared" si="9"/>
        <v>848</v>
      </c>
      <c r="U19" s="34">
        <f t="shared" ref="U19:U50" si="13">S19+T19</f>
        <v>2380</v>
      </c>
      <c r="V19" s="200" t="s">
        <v>38</v>
      </c>
      <c r="W19" s="201"/>
      <c r="X19" s="201"/>
      <c r="Y19" s="201"/>
      <c r="Z19" s="201"/>
      <c r="AA19" s="201"/>
      <c r="AB19" s="202"/>
      <c r="AD19" s="27">
        <v>17</v>
      </c>
      <c r="AE19" s="28">
        <v>22</v>
      </c>
      <c r="AF19" s="29">
        <v>28</v>
      </c>
      <c r="AG19" s="28">
        <v>35</v>
      </c>
      <c r="AH19" s="27"/>
      <c r="AI19" s="30" t="s">
        <v>39</v>
      </c>
      <c r="AK19" s="27">
        <v>21</v>
      </c>
      <c r="AL19" s="28">
        <v>23</v>
      </c>
      <c r="AM19" s="27">
        <v>16</v>
      </c>
      <c r="AN19" s="30" t="s">
        <v>34</v>
      </c>
      <c r="AP19" s="27">
        <v>9</v>
      </c>
      <c r="AQ19" s="28"/>
      <c r="AR19" s="31" t="s">
        <v>39</v>
      </c>
    </row>
    <row r="20" spans="1:44" ht="14.45" customHeight="1" x14ac:dyDescent="0.25">
      <c r="A20" s="15" t="s">
        <v>40</v>
      </c>
      <c r="B20" s="16" t="s">
        <v>43</v>
      </c>
      <c r="C20" s="17" t="s">
        <v>44</v>
      </c>
      <c r="D20" s="18" t="s">
        <v>35</v>
      </c>
      <c r="E20" s="19" t="s">
        <v>36</v>
      </c>
      <c r="F20" s="20" t="s">
        <v>37</v>
      </c>
      <c r="G20" s="21">
        <v>1276</v>
      </c>
      <c r="H20" s="22">
        <f t="shared" si="0"/>
        <v>424</v>
      </c>
      <c r="I20" s="158">
        <f t="shared" si="1"/>
        <v>1700</v>
      </c>
      <c r="J20" s="23">
        <f t="shared" si="2"/>
        <v>2552</v>
      </c>
      <c r="K20" s="24">
        <f t="shared" si="3"/>
        <v>848</v>
      </c>
      <c r="L20" s="24">
        <f t="shared" si="4"/>
        <v>3400</v>
      </c>
      <c r="M20" s="23">
        <f t="shared" si="5"/>
        <v>2552</v>
      </c>
      <c r="N20" s="24">
        <f t="shared" si="6"/>
        <v>848</v>
      </c>
      <c r="O20" s="24">
        <f t="shared" si="7"/>
        <v>3400</v>
      </c>
      <c r="P20" s="25">
        <f t="shared" si="10"/>
        <v>766</v>
      </c>
      <c r="Q20" s="25">
        <f t="shared" si="8"/>
        <v>424</v>
      </c>
      <c r="R20" s="25">
        <f t="shared" si="11"/>
        <v>1190</v>
      </c>
      <c r="S20" s="34">
        <f t="shared" si="12"/>
        <v>1532</v>
      </c>
      <c r="T20" s="34">
        <f t="shared" si="9"/>
        <v>848</v>
      </c>
      <c r="U20" s="34">
        <f t="shared" si="13"/>
        <v>2380</v>
      </c>
      <c r="V20" s="200" t="s">
        <v>38</v>
      </c>
      <c r="W20" s="201"/>
      <c r="X20" s="201"/>
      <c r="Y20" s="201"/>
      <c r="Z20" s="201"/>
      <c r="AA20" s="201"/>
      <c r="AB20" s="202"/>
      <c r="AD20" s="27">
        <v>15</v>
      </c>
      <c r="AE20" s="28">
        <v>20</v>
      </c>
      <c r="AF20" s="29">
        <v>26</v>
      </c>
      <c r="AG20" s="28">
        <v>33</v>
      </c>
      <c r="AH20" s="27"/>
      <c r="AI20" s="30" t="s">
        <v>39</v>
      </c>
      <c r="AK20" s="27">
        <v>16</v>
      </c>
      <c r="AL20" s="28">
        <v>19</v>
      </c>
      <c r="AM20" s="27"/>
      <c r="AN20" s="30" t="s">
        <v>39</v>
      </c>
      <c r="AP20" s="27">
        <v>18</v>
      </c>
      <c r="AQ20" s="28">
        <v>11</v>
      </c>
      <c r="AR20" s="31" t="s">
        <v>34</v>
      </c>
    </row>
    <row r="21" spans="1:44" ht="14.45" customHeight="1" x14ac:dyDescent="0.25">
      <c r="A21" s="15" t="s">
        <v>40</v>
      </c>
      <c r="B21" s="16" t="s">
        <v>45</v>
      </c>
      <c r="C21" s="17" t="s">
        <v>46</v>
      </c>
      <c r="D21" s="18" t="s">
        <v>35</v>
      </c>
      <c r="E21" s="19" t="s">
        <v>36</v>
      </c>
      <c r="F21" s="20" t="s">
        <v>37</v>
      </c>
      <c r="G21" s="21">
        <v>1376</v>
      </c>
      <c r="H21" s="22">
        <f t="shared" si="0"/>
        <v>424</v>
      </c>
      <c r="I21" s="157">
        <f t="shared" si="1"/>
        <v>1800</v>
      </c>
      <c r="J21" s="23">
        <f t="shared" si="2"/>
        <v>2752</v>
      </c>
      <c r="K21" s="24">
        <f t="shared" si="3"/>
        <v>848</v>
      </c>
      <c r="L21" s="24">
        <f t="shared" si="4"/>
        <v>3600</v>
      </c>
      <c r="M21" s="23">
        <f t="shared" si="5"/>
        <v>2752</v>
      </c>
      <c r="N21" s="24">
        <f t="shared" si="6"/>
        <v>848</v>
      </c>
      <c r="O21" s="24">
        <f t="shared" si="7"/>
        <v>3600</v>
      </c>
      <c r="P21" s="25">
        <f t="shared" si="10"/>
        <v>836</v>
      </c>
      <c r="Q21" s="25">
        <f t="shared" si="8"/>
        <v>424</v>
      </c>
      <c r="R21" s="25">
        <f t="shared" si="11"/>
        <v>1260</v>
      </c>
      <c r="S21" s="34">
        <f t="shared" si="12"/>
        <v>1672</v>
      </c>
      <c r="T21" s="34">
        <f t="shared" si="9"/>
        <v>848</v>
      </c>
      <c r="U21" s="34">
        <f t="shared" si="13"/>
        <v>2520</v>
      </c>
      <c r="V21" s="200" t="s">
        <v>38</v>
      </c>
      <c r="W21" s="201"/>
      <c r="X21" s="201"/>
      <c r="Y21" s="201"/>
      <c r="Z21" s="201"/>
      <c r="AA21" s="201"/>
      <c r="AB21" s="202"/>
      <c r="AD21" s="27">
        <v>19</v>
      </c>
      <c r="AE21" s="28">
        <v>22</v>
      </c>
      <c r="AF21" s="29">
        <v>28</v>
      </c>
      <c r="AG21" s="28">
        <v>35</v>
      </c>
      <c r="AH21" s="27">
        <v>8</v>
      </c>
      <c r="AI21" s="30" t="s">
        <v>34</v>
      </c>
      <c r="AK21" s="27">
        <v>16</v>
      </c>
      <c r="AL21" s="28">
        <v>19</v>
      </c>
      <c r="AM21" s="27">
        <v>4</v>
      </c>
      <c r="AN21" s="30" t="s">
        <v>34</v>
      </c>
      <c r="AP21" s="27">
        <v>11</v>
      </c>
      <c r="AQ21" s="28">
        <v>3</v>
      </c>
      <c r="AR21" s="31" t="s">
        <v>34</v>
      </c>
    </row>
    <row r="22" spans="1:44" ht="14.45" customHeight="1" x14ac:dyDescent="0.25">
      <c r="A22" s="15" t="s">
        <v>40</v>
      </c>
      <c r="B22" s="16" t="s">
        <v>47</v>
      </c>
      <c r="C22" s="17" t="s">
        <v>48</v>
      </c>
      <c r="D22" s="18" t="s">
        <v>35</v>
      </c>
      <c r="E22" s="19" t="s">
        <v>36</v>
      </c>
      <c r="F22" s="20" t="s">
        <v>37</v>
      </c>
      <c r="G22" s="21">
        <v>1376</v>
      </c>
      <c r="H22" s="22">
        <f t="shared" si="0"/>
        <v>424</v>
      </c>
      <c r="I22" s="157">
        <f t="shared" si="1"/>
        <v>1800</v>
      </c>
      <c r="J22" s="23">
        <f t="shared" si="2"/>
        <v>2752</v>
      </c>
      <c r="K22" s="24">
        <f t="shared" si="3"/>
        <v>848</v>
      </c>
      <c r="L22" s="24">
        <f t="shared" si="4"/>
        <v>3600</v>
      </c>
      <c r="M22" s="23">
        <f t="shared" si="5"/>
        <v>2752</v>
      </c>
      <c r="N22" s="24">
        <f t="shared" si="6"/>
        <v>848</v>
      </c>
      <c r="O22" s="24">
        <f t="shared" si="7"/>
        <v>3600</v>
      </c>
      <c r="P22" s="25">
        <f t="shared" si="10"/>
        <v>836</v>
      </c>
      <c r="Q22" s="25">
        <f t="shared" si="8"/>
        <v>424</v>
      </c>
      <c r="R22" s="25">
        <f t="shared" si="11"/>
        <v>1260</v>
      </c>
      <c r="S22" s="34">
        <f t="shared" si="12"/>
        <v>1672</v>
      </c>
      <c r="T22" s="34">
        <f t="shared" si="9"/>
        <v>848</v>
      </c>
      <c r="U22" s="34">
        <f t="shared" si="13"/>
        <v>2520</v>
      </c>
      <c r="V22" s="200" t="s">
        <v>38</v>
      </c>
      <c r="W22" s="201"/>
      <c r="X22" s="201"/>
      <c r="Y22" s="201"/>
      <c r="Z22" s="201"/>
      <c r="AA22" s="201"/>
      <c r="AB22" s="202"/>
      <c r="AD22" s="27">
        <v>20</v>
      </c>
      <c r="AE22" s="28">
        <v>25</v>
      </c>
      <c r="AF22" s="29">
        <v>32</v>
      </c>
      <c r="AG22" s="28">
        <v>39</v>
      </c>
      <c r="AH22" s="27">
        <v>8</v>
      </c>
      <c r="AI22" s="30" t="s">
        <v>34</v>
      </c>
      <c r="AK22" s="27">
        <v>23</v>
      </c>
      <c r="AL22" s="28">
        <v>26</v>
      </c>
      <c r="AM22" s="27">
        <v>10</v>
      </c>
      <c r="AN22" s="30" t="s">
        <v>34</v>
      </c>
      <c r="AP22" s="27">
        <v>24</v>
      </c>
      <c r="AQ22" s="28">
        <v>9</v>
      </c>
      <c r="AR22" s="31" t="s">
        <v>34</v>
      </c>
    </row>
    <row r="23" spans="1:44" ht="14.45" customHeight="1" x14ac:dyDescent="0.25">
      <c r="A23" s="15" t="s">
        <v>49</v>
      </c>
      <c r="B23" s="16" t="s">
        <v>50</v>
      </c>
      <c r="C23" s="17" t="s">
        <v>51</v>
      </c>
      <c r="D23" s="18" t="s">
        <v>35</v>
      </c>
      <c r="E23" s="19" t="s">
        <v>36</v>
      </c>
      <c r="F23" s="20" t="s">
        <v>37</v>
      </c>
      <c r="G23" s="21">
        <v>1276</v>
      </c>
      <c r="H23" s="22">
        <f t="shared" si="0"/>
        <v>424</v>
      </c>
      <c r="I23" s="158">
        <f t="shared" si="1"/>
        <v>1700</v>
      </c>
      <c r="J23" s="23">
        <f t="shared" si="2"/>
        <v>2552</v>
      </c>
      <c r="K23" s="24">
        <f t="shared" si="3"/>
        <v>848</v>
      </c>
      <c r="L23" s="24">
        <f t="shared" si="4"/>
        <v>3400</v>
      </c>
      <c r="M23" s="23">
        <f t="shared" si="5"/>
        <v>2552</v>
      </c>
      <c r="N23" s="24">
        <f t="shared" si="6"/>
        <v>848</v>
      </c>
      <c r="O23" s="24">
        <f t="shared" si="7"/>
        <v>3400</v>
      </c>
      <c r="P23" s="25">
        <f t="shared" si="10"/>
        <v>766</v>
      </c>
      <c r="Q23" s="25">
        <f t="shared" si="8"/>
        <v>424</v>
      </c>
      <c r="R23" s="25">
        <f t="shared" si="11"/>
        <v>1190</v>
      </c>
      <c r="S23" s="34">
        <f t="shared" si="12"/>
        <v>1532</v>
      </c>
      <c r="T23" s="34">
        <f t="shared" si="9"/>
        <v>848</v>
      </c>
      <c r="U23" s="34">
        <f t="shared" si="13"/>
        <v>2380</v>
      </c>
      <c r="V23" s="200" t="s">
        <v>38</v>
      </c>
      <c r="W23" s="201"/>
      <c r="X23" s="201"/>
      <c r="Y23" s="201"/>
      <c r="Z23" s="201"/>
      <c r="AA23" s="201"/>
      <c r="AB23" s="202"/>
      <c r="AD23" s="27">
        <v>22</v>
      </c>
      <c r="AE23" s="28">
        <v>28</v>
      </c>
      <c r="AF23" s="29">
        <v>34</v>
      </c>
      <c r="AG23" s="28">
        <v>41</v>
      </c>
      <c r="AH23" s="27">
        <v>11</v>
      </c>
      <c r="AI23" s="30" t="s">
        <v>34</v>
      </c>
      <c r="AK23" s="27">
        <v>18</v>
      </c>
      <c r="AL23" s="28">
        <v>22</v>
      </c>
      <c r="AM23" s="27">
        <v>6</v>
      </c>
      <c r="AN23" s="30" t="s">
        <v>34</v>
      </c>
      <c r="AP23" s="27">
        <v>19</v>
      </c>
      <c r="AQ23" s="28">
        <v>12</v>
      </c>
      <c r="AR23" s="31" t="s">
        <v>34</v>
      </c>
    </row>
    <row r="24" spans="1:44" ht="14.45" customHeight="1" x14ac:dyDescent="0.25">
      <c r="A24" s="15" t="s">
        <v>49</v>
      </c>
      <c r="B24" s="16" t="s">
        <v>52</v>
      </c>
      <c r="C24" s="17" t="s">
        <v>53</v>
      </c>
      <c r="D24" s="18" t="s">
        <v>35</v>
      </c>
      <c r="E24" s="19" t="s">
        <v>36</v>
      </c>
      <c r="F24" s="20" t="s">
        <v>37</v>
      </c>
      <c r="G24" s="21">
        <v>1376</v>
      </c>
      <c r="H24" s="22">
        <f t="shared" si="0"/>
        <v>424</v>
      </c>
      <c r="I24" s="157">
        <f t="shared" si="1"/>
        <v>1800</v>
      </c>
      <c r="J24" s="23">
        <f t="shared" si="2"/>
        <v>2752</v>
      </c>
      <c r="K24" s="24">
        <f t="shared" si="3"/>
        <v>848</v>
      </c>
      <c r="L24" s="24">
        <f t="shared" si="4"/>
        <v>3600</v>
      </c>
      <c r="M24" s="23">
        <f t="shared" si="5"/>
        <v>2752</v>
      </c>
      <c r="N24" s="24">
        <f t="shared" si="6"/>
        <v>848</v>
      </c>
      <c r="O24" s="24">
        <f t="shared" si="7"/>
        <v>3600</v>
      </c>
      <c r="P24" s="25">
        <f t="shared" si="10"/>
        <v>836</v>
      </c>
      <c r="Q24" s="25">
        <f t="shared" si="8"/>
        <v>424</v>
      </c>
      <c r="R24" s="25">
        <f t="shared" si="11"/>
        <v>1260</v>
      </c>
      <c r="S24" s="34">
        <f t="shared" si="12"/>
        <v>1672</v>
      </c>
      <c r="T24" s="34">
        <f t="shared" si="9"/>
        <v>848</v>
      </c>
      <c r="U24" s="34">
        <f t="shared" si="13"/>
        <v>2520</v>
      </c>
      <c r="V24" s="200" t="s">
        <v>38</v>
      </c>
      <c r="W24" s="201"/>
      <c r="X24" s="201"/>
      <c r="Y24" s="201"/>
      <c r="Z24" s="201"/>
      <c r="AA24" s="201"/>
      <c r="AB24" s="202"/>
      <c r="AD24" s="27">
        <v>18</v>
      </c>
      <c r="AE24" s="28">
        <v>24</v>
      </c>
      <c r="AF24" s="29">
        <v>30</v>
      </c>
      <c r="AG24" s="28">
        <v>37</v>
      </c>
      <c r="AH24" s="27">
        <v>7</v>
      </c>
      <c r="AI24" s="30" t="s">
        <v>34</v>
      </c>
      <c r="AK24" s="27">
        <v>22</v>
      </c>
      <c r="AL24" s="28">
        <v>25</v>
      </c>
      <c r="AM24" s="27">
        <v>9</v>
      </c>
      <c r="AN24" s="30" t="s">
        <v>34</v>
      </c>
      <c r="AP24" s="27">
        <v>23</v>
      </c>
      <c r="AQ24" s="28">
        <v>15</v>
      </c>
      <c r="AR24" s="31" t="s">
        <v>34</v>
      </c>
    </row>
    <row r="25" spans="1:44" ht="14.45" customHeight="1" x14ac:dyDescent="0.25">
      <c r="A25" s="15" t="s">
        <v>49</v>
      </c>
      <c r="B25" s="16" t="s">
        <v>54</v>
      </c>
      <c r="C25" s="17" t="s">
        <v>55</v>
      </c>
      <c r="D25" s="18" t="s">
        <v>35</v>
      </c>
      <c r="E25" s="19" t="s">
        <v>36</v>
      </c>
      <c r="F25" s="20" t="s">
        <v>37</v>
      </c>
      <c r="G25" s="21">
        <v>1376</v>
      </c>
      <c r="H25" s="22">
        <f t="shared" si="0"/>
        <v>424</v>
      </c>
      <c r="I25" s="157">
        <f t="shared" si="1"/>
        <v>1800</v>
      </c>
      <c r="J25" s="23">
        <f t="shared" si="2"/>
        <v>2752</v>
      </c>
      <c r="K25" s="24">
        <f t="shared" si="3"/>
        <v>848</v>
      </c>
      <c r="L25" s="24">
        <f t="shared" si="4"/>
        <v>3600</v>
      </c>
      <c r="M25" s="23">
        <f t="shared" si="5"/>
        <v>2752</v>
      </c>
      <c r="N25" s="24">
        <f t="shared" si="6"/>
        <v>848</v>
      </c>
      <c r="O25" s="24">
        <f t="shared" si="7"/>
        <v>3600</v>
      </c>
      <c r="P25" s="25">
        <f t="shared" si="10"/>
        <v>836</v>
      </c>
      <c r="Q25" s="25">
        <f t="shared" si="8"/>
        <v>424</v>
      </c>
      <c r="R25" s="25">
        <f t="shared" si="11"/>
        <v>1260</v>
      </c>
      <c r="S25" s="34">
        <f t="shared" si="12"/>
        <v>1672</v>
      </c>
      <c r="T25" s="34">
        <f t="shared" si="9"/>
        <v>848</v>
      </c>
      <c r="U25" s="34">
        <f t="shared" si="13"/>
        <v>2520</v>
      </c>
      <c r="V25" s="200" t="s">
        <v>38</v>
      </c>
      <c r="W25" s="201"/>
      <c r="X25" s="201"/>
      <c r="Y25" s="201"/>
      <c r="Z25" s="201"/>
      <c r="AA25" s="201"/>
      <c r="AB25" s="202"/>
      <c r="AD25" s="27">
        <v>18</v>
      </c>
      <c r="AE25" s="28">
        <v>24</v>
      </c>
      <c r="AF25" s="29">
        <v>30</v>
      </c>
      <c r="AG25" s="28">
        <v>37</v>
      </c>
      <c r="AH25" s="27">
        <v>7</v>
      </c>
      <c r="AI25" s="30" t="s">
        <v>34</v>
      </c>
      <c r="AK25" s="27">
        <v>19</v>
      </c>
      <c r="AL25" s="28">
        <v>25</v>
      </c>
      <c r="AM25" s="27">
        <v>7</v>
      </c>
      <c r="AN25" s="30" t="s">
        <v>34</v>
      </c>
      <c r="AP25" s="27">
        <v>23</v>
      </c>
      <c r="AQ25" s="28">
        <v>15</v>
      </c>
      <c r="AR25" s="31" t="s">
        <v>34</v>
      </c>
    </row>
    <row r="26" spans="1:44" ht="14.45" customHeight="1" x14ac:dyDescent="0.25">
      <c r="A26" s="15" t="s">
        <v>49</v>
      </c>
      <c r="B26" s="16" t="s">
        <v>56</v>
      </c>
      <c r="C26" s="17" t="s">
        <v>57</v>
      </c>
      <c r="D26" s="18" t="s">
        <v>35</v>
      </c>
      <c r="E26" s="19" t="s">
        <v>36</v>
      </c>
      <c r="F26" s="20" t="s">
        <v>37</v>
      </c>
      <c r="G26" s="21">
        <v>1626</v>
      </c>
      <c r="H26" s="22">
        <f t="shared" si="0"/>
        <v>424</v>
      </c>
      <c r="I26" s="157">
        <f t="shared" si="1"/>
        <v>2050</v>
      </c>
      <c r="J26" s="23">
        <f t="shared" si="2"/>
        <v>3252</v>
      </c>
      <c r="K26" s="24">
        <f t="shared" si="3"/>
        <v>848</v>
      </c>
      <c r="L26" s="24">
        <f t="shared" si="4"/>
        <v>4100</v>
      </c>
      <c r="M26" s="23">
        <f t="shared" si="5"/>
        <v>3252</v>
      </c>
      <c r="N26" s="24">
        <f t="shared" si="6"/>
        <v>848</v>
      </c>
      <c r="O26" s="24">
        <f t="shared" si="7"/>
        <v>4100</v>
      </c>
      <c r="P26" s="25">
        <f t="shared" si="10"/>
        <v>1011</v>
      </c>
      <c r="Q26" s="25">
        <f t="shared" si="8"/>
        <v>424</v>
      </c>
      <c r="R26" s="25">
        <f t="shared" si="11"/>
        <v>1435</v>
      </c>
      <c r="S26" s="34">
        <f t="shared" si="12"/>
        <v>2022</v>
      </c>
      <c r="T26" s="34">
        <f t="shared" si="9"/>
        <v>848</v>
      </c>
      <c r="U26" s="34">
        <f t="shared" si="13"/>
        <v>2870</v>
      </c>
      <c r="V26" s="200" t="s">
        <v>38</v>
      </c>
      <c r="W26" s="201"/>
      <c r="X26" s="201"/>
      <c r="Y26" s="201"/>
      <c r="Z26" s="201"/>
      <c r="AA26" s="201"/>
      <c r="AB26" s="202"/>
      <c r="AD26" s="27">
        <v>23</v>
      </c>
      <c r="AE26" s="28">
        <v>29</v>
      </c>
      <c r="AF26" s="29">
        <v>35</v>
      </c>
      <c r="AG26" s="28">
        <v>42</v>
      </c>
      <c r="AH26" s="27">
        <v>12</v>
      </c>
      <c r="AI26" s="30" t="s">
        <v>34</v>
      </c>
      <c r="AK26" s="27">
        <v>20</v>
      </c>
      <c r="AL26" s="28">
        <v>23</v>
      </c>
      <c r="AM26" s="27">
        <v>7</v>
      </c>
      <c r="AN26" s="30" t="s">
        <v>34</v>
      </c>
      <c r="AP26" s="27">
        <v>24</v>
      </c>
      <c r="AQ26" s="28">
        <v>15</v>
      </c>
      <c r="AR26" s="31" t="s">
        <v>34</v>
      </c>
    </row>
    <row r="27" spans="1:44" ht="14.45" customHeight="1" x14ac:dyDescent="0.25">
      <c r="A27" s="15" t="s">
        <v>58</v>
      </c>
      <c r="B27" s="16" t="s">
        <v>59</v>
      </c>
      <c r="C27" s="17" t="s">
        <v>60</v>
      </c>
      <c r="D27" s="18" t="s">
        <v>35</v>
      </c>
      <c r="E27" s="19" t="s">
        <v>36</v>
      </c>
      <c r="F27" s="20" t="s">
        <v>37</v>
      </c>
      <c r="G27" s="21">
        <v>1276</v>
      </c>
      <c r="H27" s="22">
        <f t="shared" si="0"/>
        <v>424</v>
      </c>
      <c r="I27" s="158">
        <f t="shared" si="1"/>
        <v>1700</v>
      </c>
      <c r="J27" s="23">
        <f t="shared" si="2"/>
        <v>2552</v>
      </c>
      <c r="K27" s="24">
        <f t="shared" si="3"/>
        <v>848</v>
      </c>
      <c r="L27" s="24">
        <f t="shared" si="4"/>
        <v>3400</v>
      </c>
      <c r="M27" s="23">
        <f t="shared" si="5"/>
        <v>2552</v>
      </c>
      <c r="N27" s="24">
        <f t="shared" si="6"/>
        <v>848</v>
      </c>
      <c r="O27" s="24">
        <f t="shared" si="7"/>
        <v>3400</v>
      </c>
      <c r="P27" s="25">
        <f t="shared" si="10"/>
        <v>766</v>
      </c>
      <c r="Q27" s="25">
        <f t="shared" si="8"/>
        <v>424</v>
      </c>
      <c r="R27" s="25">
        <f t="shared" si="11"/>
        <v>1190</v>
      </c>
      <c r="S27" s="34">
        <f t="shared" si="12"/>
        <v>1532</v>
      </c>
      <c r="T27" s="34">
        <f t="shared" si="9"/>
        <v>848</v>
      </c>
      <c r="U27" s="34">
        <f t="shared" si="13"/>
        <v>2380</v>
      </c>
      <c r="V27" s="200" t="s">
        <v>38</v>
      </c>
      <c r="W27" s="201"/>
      <c r="X27" s="201"/>
      <c r="Y27" s="201"/>
      <c r="Z27" s="201"/>
      <c r="AA27" s="201"/>
      <c r="AB27" s="202"/>
      <c r="AD27" s="27">
        <v>21</v>
      </c>
      <c r="AE27" s="28">
        <v>28</v>
      </c>
      <c r="AF27" s="29">
        <v>33</v>
      </c>
      <c r="AG27" s="28">
        <v>40</v>
      </c>
      <c r="AH27" s="27">
        <v>10</v>
      </c>
      <c r="AI27" s="30" t="s">
        <v>34</v>
      </c>
      <c r="AK27" s="27">
        <v>25</v>
      </c>
      <c r="AL27" s="28">
        <v>28</v>
      </c>
      <c r="AM27" s="27">
        <v>12</v>
      </c>
      <c r="AN27" s="30" t="s">
        <v>34</v>
      </c>
      <c r="AP27" s="27">
        <v>19</v>
      </c>
      <c r="AQ27" s="28">
        <v>10</v>
      </c>
      <c r="AR27" s="31" t="s">
        <v>34</v>
      </c>
    </row>
    <row r="28" spans="1:44" ht="14.45" customHeight="1" x14ac:dyDescent="0.25">
      <c r="A28" s="15" t="s">
        <v>58</v>
      </c>
      <c r="B28" s="16" t="s">
        <v>61</v>
      </c>
      <c r="C28" s="17" t="s">
        <v>62</v>
      </c>
      <c r="D28" s="18" t="s">
        <v>35</v>
      </c>
      <c r="E28" s="19" t="s">
        <v>36</v>
      </c>
      <c r="F28" s="20" t="s">
        <v>37</v>
      </c>
      <c r="G28" s="21">
        <v>1376</v>
      </c>
      <c r="H28" s="22">
        <f t="shared" si="0"/>
        <v>424</v>
      </c>
      <c r="I28" s="157">
        <f t="shared" si="1"/>
        <v>1800</v>
      </c>
      <c r="J28" s="23">
        <f t="shared" si="2"/>
        <v>2752</v>
      </c>
      <c r="K28" s="24">
        <f t="shared" si="3"/>
        <v>848</v>
      </c>
      <c r="L28" s="24">
        <f t="shared" si="4"/>
        <v>3600</v>
      </c>
      <c r="M28" s="23">
        <f t="shared" si="5"/>
        <v>2752</v>
      </c>
      <c r="N28" s="24">
        <f t="shared" si="6"/>
        <v>848</v>
      </c>
      <c r="O28" s="24">
        <f t="shared" si="7"/>
        <v>3600</v>
      </c>
      <c r="P28" s="25">
        <f t="shared" si="10"/>
        <v>836</v>
      </c>
      <c r="Q28" s="25">
        <f t="shared" si="8"/>
        <v>424</v>
      </c>
      <c r="R28" s="25">
        <f t="shared" si="11"/>
        <v>1260</v>
      </c>
      <c r="S28" s="34">
        <f t="shared" si="12"/>
        <v>1672</v>
      </c>
      <c r="T28" s="34">
        <f t="shared" si="9"/>
        <v>848</v>
      </c>
      <c r="U28" s="34">
        <f t="shared" si="13"/>
        <v>2520</v>
      </c>
      <c r="V28" s="200" t="s">
        <v>38</v>
      </c>
      <c r="W28" s="201"/>
      <c r="X28" s="201"/>
      <c r="Y28" s="201"/>
      <c r="Z28" s="201"/>
      <c r="AA28" s="201"/>
      <c r="AB28" s="202"/>
      <c r="AD28" s="27">
        <v>22</v>
      </c>
      <c r="AE28" s="28">
        <v>29</v>
      </c>
      <c r="AF28" s="29">
        <v>34</v>
      </c>
      <c r="AG28" s="28">
        <v>41</v>
      </c>
      <c r="AH28" s="27">
        <v>10</v>
      </c>
      <c r="AI28" s="30" t="s">
        <v>34</v>
      </c>
      <c r="AK28" s="27">
        <v>25</v>
      </c>
      <c r="AL28" s="28">
        <v>28</v>
      </c>
      <c r="AM28" s="27">
        <v>13</v>
      </c>
      <c r="AN28" s="30" t="s">
        <v>34</v>
      </c>
      <c r="AP28" s="27">
        <v>20</v>
      </c>
      <c r="AQ28" s="28">
        <v>11</v>
      </c>
      <c r="AR28" s="31" t="s">
        <v>34</v>
      </c>
    </row>
    <row r="29" spans="1:44" ht="14.45" customHeight="1" x14ac:dyDescent="0.25">
      <c r="A29" s="15" t="s">
        <v>58</v>
      </c>
      <c r="B29" s="16" t="s">
        <v>63</v>
      </c>
      <c r="C29" s="17"/>
      <c r="D29" s="18" t="s">
        <v>35</v>
      </c>
      <c r="E29" s="19" t="s">
        <v>36</v>
      </c>
      <c r="F29" s="20" t="s">
        <v>37</v>
      </c>
      <c r="G29" s="21">
        <v>1376</v>
      </c>
      <c r="H29" s="22">
        <f t="shared" si="0"/>
        <v>424</v>
      </c>
      <c r="I29" s="157">
        <f t="shared" si="1"/>
        <v>1800</v>
      </c>
      <c r="J29" s="23">
        <f t="shared" si="2"/>
        <v>2752</v>
      </c>
      <c r="K29" s="24">
        <f t="shared" si="3"/>
        <v>848</v>
      </c>
      <c r="L29" s="24">
        <f t="shared" si="4"/>
        <v>3600</v>
      </c>
      <c r="M29" s="23">
        <f t="shared" si="5"/>
        <v>2752</v>
      </c>
      <c r="N29" s="24">
        <f t="shared" si="6"/>
        <v>848</v>
      </c>
      <c r="O29" s="24">
        <f t="shared" si="7"/>
        <v>3600</v>
      </c>
      <c r="P29" s="25">
        <f t="shared" si="10"/>
        <v>836</v>
      </c>
      <c r="Q29" s="25">
        <f t="shared" si="8"/>
        <v>424</v>
      </c>
      <c r="R29" s="25">
        <f t="shared" si="11"/>
        <v>1260</v>
      </c>
      <c r="S29" s="34">
        <f t="shared" si="12"/>
        <v>1672</v>
      </c>
      <c r="T29" s="34">
        <f t="shared" si="9"/>
        <v>848</v>
      </c>
      <c r="U29" s="34">
        <f t="shared" si="13"/>
        <v>2520</v>
      </c>
      <c r="V29" s="200" t="s">
        <v>38</v>
      </c>
      <c r="W29" s="201"/>
      <c r="X29" s="201"/>
      <c r="Y29" s="201"/>
      <c r="Z29" s="201"/>
      <c r="AA29" s="201"/>
      <c r="AB29" s="202"/>
      <c r="AD29" s="27">
        <v>24</v>
      </c>
      <c r="AE29" s="28">
        <v>30</v>
      </c>
      <c r="AF29" s="29">
        <v>37</v>
      </c>
      <c r="AG29" s="28">
        <v>44</v>
      </c>
      <c r="AH29" s="27">
        <v>5</v>
      </c>
      <c r="AI29" s="30" t="s">
        <v>34</v>
      </c>
      <c r="AK29" s="27">
        <v>28</v>
      </c>
      <c r="AL29" s="28">
        <v>31</v>
      </c>
      <c r="AM29" s="27">
        <v>15</v>
      </c>
      <c r="AN29" s="30" t="s">
        <v>34</v>
      </c>
      <c r="AP29" s="27">
        <v>22</v>
      </c>
      <c r="AQ29" s="28">
        <v>14</v>
      </c>
      <c r="AR29" s="31" t="s">
        <v>34</v>
      </c>
    </row>
    <row r="30" spans="1:44" ht="14.45" customHeight="1" x14ac:dyDescent="0.25">
      <c r="A30" s="15" t="s">
        <v>64</v>
      </c>
      <c r="B30" s="16" t="s">
        <v>65</v>
      </c>
      <c r="C30" s="17" t="s">
        <v>66</v>
      </c>
      <c r="D30" s="18" t="s">
        <v>35</v>
      </c>
      <c r="E30" s="19" t="s">
        <v>36</v>
      </c>
      <c r="F30" s="20" t="s">
        <v>37</v>
      </c>
      <c r="G30" s="21">
        <v>1276</v>
      </c>
      <c r="H30" s="22">
        <f t="shared" si="0"/>
        <v>424</v>
      </c>
      <c r="I30" s="158">
        <f t="shared" si="1"/>
        <v>1700</v>
      </c>
      <c r="J30" s="23">
        <f t="shared" si="2"/>
        <v>2552</v>
      </c>
      <c r="K30" s="24">
        <f t="shared" si="3"/>
        <v>848</v>
      </c>
      <c r="L30" s="24">
        <f t="shared" si="4"/>
        <v>3400</v>
      </c>
      <c r="M30" s="23">
        <f t="shared" si="5"/>
        <v>2552</v>
      </c>
      <c r="N30" s="24">
        <f t="shared" si="6"/>
        <v>848</v>
      </c>
      <c r="O30" s="24">
        <f t="shared" si="7"/>
        <v>3400</v>
      </c>
      <c r="P30" s="25">
        <f t="shared" si="10"/>
        <v>766</v>
      </c>
      <c r="Q30" s="25">
        <f t="shared" si="8"/>
        <v>424</v>
      </c>
      <c r="R30" s="25">
        <f t="shared" si="11"/>
        <v>1190</v>
      </c>
      <c r="S30" s="34">
        <f t="shared" si="12"/>
        <v>1532</v>
      </c>
      <c r="T30" s="34">
        <f t="shared" si="9"/>
        <v>848</v>
      </c>
      <c r="U30" s="34">
        <f t="shared" si="13"/>
        <v>2380</v>
      </c>
      <c r="V30" s="200" t="s">
        <v>38</v>
      </c>
      <c r="W30" s="201"/>
      <c r="X30" s="201"/>
      <c r="Y30" s="201"/>
      <c r="Z30" s="201"/>
      <c r="AA30" s="201"/>
      <c r="AB30" s="202"/>
      <c r="AD30" s="27">
        <v>22</v>
      </c>
      <c r="AE30" s="28">
        <v>28</v>
      </c>
      <c r="AF30" s="29">
        <v>34</v>
      </c>
      <c r="AG30" s="28">
        <v>41</v>
      </c>
      <c r="AH30" s="27">
        <v>11</v>
      </c>
      <c r="AI30" s="30" t="s">
        <v>34</v>
      </c>
      <c r="AK30" s="27">
        <v>26</v>
      </c>
      <c r="AL30" s="28">
        <v>29</v>
      </c>
      <c r="AM30" s="27">
        <v>13</v>
      </c>
      <c r="AN30" s="30" t="s">
        <v>34</v>
      </c>
      <c r="AP30" s="27">
        <v>20</v>
      </c>
      <c r="AQ30" s="28">
        <v>12</v>
      </c>
      <c r="AR30" s="31" t="s">
        <v>34</v>
      </c>
    </row>
    <row r="31" spans="1:44" ht="14.45" customHeight="1" x14ac:dyDescent="0.25">
      <c r="A31" s="15" t="s">
        <v>64</v>
      </c>
      <c r="B31" s="16" t="s">
        <v>67</v>
      </c>
      <c r="C31" s="17" t="s">
        <v>68</v>
      </c>
      <c r="D31" s="18" t="s">
        <v>35</v>
      </c>
      <c r="E31" s="19" t="s">
        <v>36</v>
      </c>
      <c r="F31" s="20" t="s">
        <v>37</v>
      </c>
      <c r="G31" s="21">
        <v>1326</v>
      </c>
      <c r="H31" s="22">
        <f t="shared" si="0"/>
        <v>424</v>
      </c>
      <c r="I31" s="157">
        <f t="shared" si="1"/>
        <v>1750</v>
      </c>
      <c r="J31" s="23">
        <f t="shared" si="2"/>
        <v>2652</v>
      </c>
      <c r="K31" s="24">
        <f t="shared" si="3"/>
        <v>848</v>
      </c>
      <c r="L31" s="24">
        <f t="shared" si="4"/>
        <v>3500</v>
      </c>
      <c r="M31" s="23">
        <f t="shared" si="5"/>
        <v>2652</v>
      </c>
      <c r="N31" s="24">
        <f t="shared" si="6"/>
        <v>848</v>
      </c>
      <c r="O31" s="24">
        <f t="shared" si="7"/>
        <v>3500</v>
      </c>
      <c r="P31" s="25">
        <f t="shared" si="10"/>
        <v>801</v>
      </c>
      <c r="Q31" s="25">
        <f t="shared" si="8"/>
        <v>424</v>
      </c>
      <c r="R31" s="25">
        <f t="shared" si="11"/>
        <v>1225</v>
      </c>
      <c r="S31" s="34">
        <f t="shared" si="12"/>
        <v>1602</v>
      </c>
      <c r="T31" s="34">
        <f t="shared" si="9"/>
        <v>848</v>
      </c>
      <c r="U31" s="34">
        <f t="shared" si="13"/>
        <v>2450</v>
      </c>
      <c r="V31" s="200" t="s">
        <v>38</v>
      </c>
      <c r="W31" s="201"/>
      <c r="X31" s="201"/>
      <c r="Y31" s="201"/>
      <c r="Z31" s="201"/>
      <c r="AA31" s="201"/>
      <c r="AB31" s="202"/>
      <c r="AD31" s="27">
        <v>26</v>
      </c>
      <c r="AE31" s="28">
        <v>32</v>
      </c>
      <c r="AF31" s="29">
        <v>38</v>
      </c>
      <c r="AG31" s="28">
        <v>45</v>
      </c>
      <c r="AH31" s="27">
        <v>13</v>
      </c>
      <c r="AI31" s="30" t="s">
        <v>34</v>
      </c>
      <c r="AK31" s="27">
        <v>29</v>
      </c>
      <c r="AL31" s="28">
        <v>32</v>
      </c>
      <c r="AM31" s="27">
        <v>17</v>
      </c>
      <c r="AN31" s="30" t="s">
        <v>34</v>
      </c>
      <c r="AP31" s="27">
        <v>24</v>
      </c>
      <c r="AQ31" s="28">
        <v>16</v>
      </c>
      <c r="AR31" s="31" t="s">
        <v>34</v>
      </c>
    </row>
    <row r="32" spans="1:44" ht="14.45" customHeight="1" x14ac:dyDescent="0.25">
      <c r="A32" s="15" t="s">
        <v>64</v>
      </c>
      <c r="B32" s="16" t="s">
        <v>69</v>
      </c>
      <c r="C32" s="17" t="s">
        <v>70</v>
      </c>
      <c r="D32" s="18" t="s">
        <v>35</v>
      </c>
      <c r="E32" s="19" t="s">
        <v>36</v>
      </c>
      <c r="F32" s="20" t="s">
        <v>37</v>
      </c>
      <c r="G32" s="21">
        <v>1376</v>
      </c>
      <c r="H32" s="22">
        <f t="shared" si="0"/>
        <v>424</v>
      </c>
      <c r="I32" s="157">
        <f t="shared" si="1"/>
        <v>1800</v>
      </c>
      <c r="J32" s="23">
        <f t="shared" si="2"/>
        <v>2752</v>
      </c>
      <c r="K32" s="24">
        <f t="shared" si="3"/>
        <v>848</v>
      </c>
      <c r="L32" s="24">
        <f t="shared" si="4"/>
        <v>3600</v>
      </c>
      <c r="M32" s="23">
        <f t="shared" si="5"/>
        <v>2752</v>
      </c>
      <c r="N32" s="24">
        <f t="shared" si="6"/>
        <v>848</v>
      </c>
      <c r="O32" s="24">
        <f t="shared" si="7"/>
        <v>3600</v>
      </c>
      <c r="P32" s="25">
        <f t="shared" si="10"/>
        <v>836</v>
      </c>
      <c r="Q32" s="25">
        <f t="shared" si="8"/>
        <v>424</v>
      </c>
      <c r="R32" s="25">
        <f t="shared" si="11"/>
        <v>1260</v>
      </c>
      <c r="S32" s="34">
        <f t="shared" si="12"/>
        <v>1672</v>
      </c>
      <c r="T32" s="34">
        <f t="shared" si="9"/>
        <v>848</v>
      </c>
      <c r="U32" s="34">
        <f t="shared" si="13"/>
        <v>2520</v>
      </c>
      <c r="V32" s="200" t="s">
        <v>38</v>
      </c>
      <c r="W32" s="201"/>
      <c r="X32" s="201"/>
      <c r="Y32" s="201"/>
      <c r="Z32" s="201"/>
      <c r="AA32" s="201"/>
      <c r="AB32" s="202"/>
      <c r="AD32" s="27">
        <v>23</v>
      </c>
      <c r="AE32" s="28">
        <v>29</v>
      </c>
      <c r="AF32" s="29">
        <v>35</v>
      </c>
      <c r="AG32" s="28">
        <v>42</v>
      </c>
      <c r="AH32" s="27">
        <v>12</v>
      </c>
      <c r="AI32" s="30" t="s">
        <v>34</v>
      </c>
      <c r="AK32" s="27">
        <v>25</v>
      </c>
      <c r="AL32" s="28">
        <v>28</v>
      </c>
      <c r="AM32" s="27">
        <v>13</v>
      </c>
      <c r="AN32" s="30" t="s">
        <v>34</v>
      </c>
      <c r="AP32" s="27">
        <v>21</v>
      </c>
      <c r="AQ32" s="28">
        <v>13</v>
      </c>
      <c r="AR32" s="31" t="s">
        <v>34</v>
      </c>
    </row>
    <row r="33" spans="1:44" ht="14.45" customHeight="1" x14ac:dyDescent="0.25">
      <c r="A33" s="15" t="s">
        <v>64</v>
      </c>
      <c r="B33" s="16" t="s">
        <v>71</v>
      </c>
      <c r="C33" s="17" t="s">
        <v>72</v>
      </c>
      <c r="D33" s="18" t="s">
        <v>35</v>
      </c>
      <c r="E33" s="19" t="s">
        <v>36</v>
      </c>
      <c r="F33" s="20" t="s">
        <v>37</v>
      </c>
      <c r="G33" s="21">
        <v>1376</v>
      </c>
      <c r="H33" s="22">
        <f t="shared" si="0"/>
        <v>424</v>
      </c>
      <c r="I33" s="157">
        <f t="shared" si="1"/>
        <v>1800</v>
      </c>
      <c r="J33" s="23">
        <f t="shared" si="2"/>
        <v>2752</v>
      </c>
      <c r="K33" s="24">
        <f t="shared" si="3"/>
        <v>848</v>
      </c>
      <c r="L33" s="24">
        <f t="shared" si="4"/>
        <v>3600</v>
      </c>
      <c r="M33" s="23">
        <f t="shared" si="5"/>
        <v>2752</v>
      </c>
      <c r="N33" s="24">
        <f t="shared" si="6"/>
        <v>848</v>
      </c>
      <c r="O33" s="24">
        <f t="shared" si="7"/>
        <v>3600</v>
      </c>
      <c r="P33" s="25">
        <f t="shared" si="10"/>
        <v>836</v>
      </c>
      <c r="Q33" s="25">
        <f t="shared" si="8"/>
        <v>424</v>
      </c>
      <c r="R33" s="25">
        <f t="shared" si="11"/>
        <v>1260</v>
      </c>
      <c r="S33" s="34">
        <f t="shared" si="12"/>
        <v>1672</v>
      </c>
      <c r="T33" s="34">
        <f t="shared" si="9"/>
        <v>848</v>
      </c>
      <c r="U33" s="34">
        <f t="shared" si="13"/>
        <v>2520</v>
      </c>
      <c r="V33" s="200" t="s">
        <v>38</v>
      </c>
      <c r="W33" s="201"/>
      <c r="X33" s="201"/>
      <c r="Y33" s="201"/>
      <c r="Z33" s="201"/>
      <c r="AA33" s="201"/>
      <c r="AB33" s="202"/>
      <c r="AD33" s="27">
        <v>20</v>
      </c>
      <c r="AE33" s="28">
        <v>26</v>
      </c>
      <c r="AF33" s="29">
        <v>32</v>
      </c>
      <c r="AG33" s="28">
        <v>39</v>
      </c>
      <c r="AH33" s="27">
        <v>8</v>
      </c>
      <c r="AI33" s="30" t="s">
        <v>34</v>
      </c>
      <c r="AK33" s="27">
        <v>23</v>
      </c>
      <c r="AL33" s="28">
        <v>26</v>
      </c>
      <c r="AM33" s="27">
        <v>10</v>
      </c>
      <c r="AN33" s="30" t="s">
        <v>34</v>
      </c>
      <c r="AP33" s="27">
        <v>24</v>
      </c>
      <c r="AQ33" s="28">
        <v>16</v>
      </c>
      <c r="AR33" s="31" t="s">
        <v>34</v>
      </c>
    </row>
    <row r="34" spans="1:44" ht="14.45" customHeight="1" x14ac:dyDescent="0.25">
      <c r="A34" s="15" t="s">
        <v>73</v>
      </c>
      <c r="B34" s="16" t="s">
        <v>74</v>
      </c>
      <c r="C34" s="17" t="s">
        <v>75</v>
      </c>
      <c r="D34" s="18" t="s">
        <v>35</v>
      </c>
      <c r="E34" s="19" t="s">
        <v>36</v>
      </c>
      <c r="F34" s="20" t="s">
        <v>37</v>
      </c>
      <c r="G34" s="21">
        <v>1576</v>
      </c>
      <c r="H34" s="22">
        <f t="shared" si="0"/>
        <v>424</v>
      </c>
      <c r="I34" s="157">
        <f t="shared" si="1"/>
        <v>2000</v>
      </c>
      <c r="J34" s="23">
        <f t="shared" si="2"/>
        <v>3152</v>
      </c>
      <c r="K34" s="24">
        <f t="shared" si="3"/>
        <v>848</v>
      </c>
      <c r="L34" s="24">
        <f t="shared" si="4"/>
        <v>4000</v>
      </c>
      <c r="M34" s="23">
        <f t="shared" si="5"/>
        <v>3152</v>
      </c>
      <c r="N34" s="24">
        <f t="shared" si="6"/>
        <v>848</v>
      </c>
      <c r="O34" s="24">
        <f t="shared" si="7"/>
        <v>4000</v>
      </c>
      <c r="P34" s="25">
        <f t="shared" si="10"/>
        <v>976</v>
      </c>
      <c r="Q34" s="25">
        <f t="shared" si="8"/>
        <v>424</v>
      </c>
      <c r="R34" s="25">
        <f t="shared" si="11"/>
        <v>1400</v>
      </c>
      <c r="S34" s="34">
        <f t="shared" si="12"/>
        <v>1952</v>
      </c>
      <c r="T34" s="34">
        <f t="shared" si="9"/>
        <v>848</v>
      </c>
      <c r="U34" s="34">
        <f t="shared" si="13"/>
        <v>2800</v>
      </c>
      <c r="V34" s="200" t="s">
        <v>38</v>
      </c>
      <c r="W34" s="201"/>
      <c r="X34" s="201"/>
      <c r="Y34" s="201"/>
      <c r="Z34" s="201"/>
      <c r="AA34" s="201"/>
      <c r="AB34" s="202"/>
      <c r="AD34" s="27">
        <v>22</v>
      </c>
      <c r="AE34" s="28">
        <v>28</v>
      </c>
      <c r="AF34" s="29">
        <v>34</v>
      </c>
      <c r="AG34" s="28">
        <v>41</v>
      </c>
      <c r="AH34" s="27">
        <v>11</v>
      </c>
      <c r="AI34" s="30" t="s">
        <v>34</v>
      </c>
      <c r="AK34" s="27">
        <v>25</v>
      </c>
      <c r="AL34" s="28">
        <v>28</v>
      </c>
      <c r="AM34" s="27">
        <v>13</v>
      </c>
      <c r="AN34" s="30" t="s">
        <v>34</v>
      </c>
      <c r="AP34" s="27">
        <v>19</v>
      </c>
      <c r="AQ34" s="28">
        <v>12</v>
      </c>
      <c r="AR34" s="31" t="s">
        <v>34</v>
      </c>
    </row>
    <row r="35" spans="1:44" ht="14.45" customHeight="1" x14ac:dyDescent="0.25">
      <c r="A35" s="15" t="s">
        <v>76</v>
      </c>
      <c r="B35" s="16" t="s">
        <v>77</v>
      </c>
      <c r="C35" s="17" t="s">
        <v>78</v>
      </c>
      <c r="D35" s="18" t="s">
        <v>35</v>
      </c>
      <c r="E35" s="19" t="s">
        <v>36</v>
      </c>
      <c r="F35" s="20" t="s">
        <v>37</v>
      </c>
      <c r="G35" s="21">
        <v>1526</v>
      </c>
      <c r="H35" s="22">
        <f t="shared" si="0"/>
        <v>424</v>
      </c>
      <c r="I35" s="157">
        <f t="shared" si="1"/>
        <v>1950</v>
      </c>
      <c r="J35" s="23">
        <f t="shared" si="2"/>
        <v>3052</v>
      </c>
      <c r="K35" s="24">
        <f t="shared" si="3"/>
        <v>848</v>
      </c>
      <c r="L35" s="24">
        <f t="shared" si="4"/>
        <v>3900</v>
      </c>
      <c r="M35" s="23">
        <f t="shared" si="5"/>
        <v>3052</v>
      </c>
      <c r="N35" s="24">
        <f t="shared" si="6"/>
        <v>848</v>
      </c>
      <c r="O35" s="24">
        <f t="shared" si="7"/>
        <v>3900</v>
      </c>
      <c r="P35" s="25">
        <f t="shared" si="10"/>
        <v>941</v>
      </c>
      <c r="Q35" s="25">
        <f t="shared" si="8"/>
        <v>424</v>
      </c>
      <c r="R35" s="25">
        <f t="shared" si="11"/>
        <v>1365</v>
      </c>
      <c r="S35" s="34">
        <f t="shared" si="12"/>
        <v>1882</v>
      </c>
      <c r="T35" s="34">
        <f t="shared" si="9"/>
        <v>848</v>
      </c>
      <c r="U35" s="34">
        <f t="shared" si="13"/>
        <v>2730</v>
      </c>
      <c r="V35" s="200" t="s">
        <v>38</v>
      </c>
      <c r="W35" s="201"/>
      <c r="X35" s="201"/>
      <c r="Y35" s="201"/>
      <c r="Z35" s="201"/>
      <c r="AA35" s="201"/>
      <c r="AB35" s="202"/>
      <c r="AD35" s="27">
        <v>23</v>
      </c>
      <c r="AE35" s="28">
        <v>28</v>
      </c>
      <c r="AF35" s="29">
        <v>35</v>
      </c>
      <c r="AG35" s="28">
        <v>42</v>
      </c>
      <c r="AH35" s="27">
        <v>11</v>
      </c>
      <c r="AI35" s="30" t="s">
        <v>34</v>
      </c>
      <c r="AK35" s="27">
        <v>19</v>
      </c>
      <c r="AL35" s="28">
        <v>22</v>
      </c>
      <c r="AM35" s="27">
        <v>6</v>
      </c>
      <c r="AN35" s="30" t="s">
        <v>34</v>
      </c>
      <c r="AP35" s="27">
        <v>20</v>
      </c>
      <c r="AQ35" s="28">
        <v>12</v>
      </c>
      <c r="AR35" s="31" t="s">
        <v>34</v>
      </c>
    </row>
    <row r="36" spans="1:44" ht="14.45" customHeight="1" x14ac:dyDescent="0.25">
      <c r="A36" s="15" t="s">
        <v>79</v>
      </c>
      <c r="B36" s="16" t="s">
        <v>80</v>
      </c>
      <c r="C36" s="17" t="s">
        <v>81</v>
      </c>
      <c r="D36" s="18" t="s">
        <v>35</v>
      </c>
      <c r="E36" s="19" t="s">
        <v>36</v>
      </c>
      <c r="F36" s="20" t="s">
        <v>37</v>
      </c>
      <c r="G36" s="21">
        <v>1526</v>
      </c>
      <c r="H36" s="22">
        <f t="shared" si="0"/>
        <v>424</v>
      </c>
      <c r="I36" s="157">
        <f t="shared" si="1"/>
        <v>1950</v>
      </c>
      <c r="J36" s="23">
        <f t="shared" si="2"/>
        <v>3052</v>
      </c>
      <c r="K36" s="24">
        <f t="shared" si="3"/>
        <v>848</v>
      </c>
      <c r="L36" s="24">
        <f t="shared" si="4"/>
        <v>3900</v>
      </c>
      <c r="M36" s="23">
        <f t="shared" si="5"/>
        <v>3052</v>
      </c>
      <c r="N36" s="24">
        <f t="shared" si="6"/>
        <v>848</v>
      </c>
      <c r="O36" s="24">
        <f t="shared" si="7"/>
        <v>3900</v>
      </c>
      <c r="P36" s="25">
        <f t="shared" si="10"/>
        <v>941</v>
      </c>
      <c r="Q36" s="25">
        <f t="shared" si="8"/>
        <v>424</v>
      </c>
      <c r="R36" s="25">
        <f t="shared" si="11"/>
        <v>1365</v>
      </c>
      <c r="S36" s="34">
        <f t="shared" si="12"/>
        <v>1882</v>
      </c>
      <c r="T36" s="34">
        <f t="shared" si="9"/>
        <v>848</v>
      </c>
      <c r="U36" s="34">
        <f t="shared" si="13"/>
        <v>2730</v>
      </c>
      <c r="V36" s="200" t="s">
        <v>38</v>
      </c>
      <c r="W36" s="201"/>
      <c r="X36" s="201"/>
      <c r="Y36" s="201"/>
      <c r="Z36" s="201"/>
      <c r="AA36" s="201"/>
      <c r="AB36" s="202"/>
      <c r="AD36" s="27">
        <v>26</v>
      </c>
      <c r="AE36" s="28">
        <v>32</v>
      </c>
      <c r="AF36" s="29">
        <v>38</v>
      </c>
      <c r="AG36" s="28">
        <v>45</v>
      </c>
      <c r="AH36" s="27">
        <v>14</v>
      </c>
      <c r="AI36" s="30" t="s">
        <v>34</v>
      </c>
      <c r="AK36" s="27">
        <v>22</v>
      </c>
      <c r="AL36" s="28">
        <v>25</v>
      </c>
      <c r="AM36" s="27">
        <v>10</v>
      </c>
      <c r="AN36" s="30" t="s">
        <v>34</v>
      </c>
      <c r="AP36" s="27">
        <v>23</v>
      </c>
      <c r="AQ36" s="28">
        <v>16</v>
      </c>
      <c r="AR36" s="31" t="s">
        <v>34</v>
      </c>
    </row>
    <row r="37" spans="1:44" ht="14.45" customHeight="1" x14ac:dyDescent="0.25">
      <c r="A37" s="15"/>
      <c r="B37" s="16"/>
      <c r="C37" s="33"/>
      <c r="D37" s="18"/>
      <c r="E37" s="19"/>
      <c r="F37" s="20"/>
      <c r="G37" s="23"/>
      <c r="H37" s="24"/>
      <c r="I37" s="156"/>
      <c r="J37" s="23"/>
      <c r="K37" s="24"/>
      <c r="L37" s="24"/>
      <c r="M37" s="23"/>
      <c r="N37" s="24"/>
      <c r="O37" s="24"/>
      <c r="P37" s="34"/>
      <c r="Q37" s="26"/>
      <c r="R37" s="34"/>
      <c r="S37" s="26"/>
      <c r="T37" s="23"/>
      <c r="U37" s="34"/>
      <c r="V37" s="200"/>
      <c r="W37" s="201"/>
      <c r="X37" s="201"/>
      <c r="Y37" s="201"/>
      <c r="Z37" s="201"/>
      <c r="AA37" s="201"/>
      <c r="AB37" s="202"/>
      <c r="AD37" s="27"/>
      <c r="AE37" s="28"/>
      <c r="AF37" s="29"/>
      <c r="AG37" s="28"/>
      <c r="AH37" s="27"/>
      <c r="AI37" s="30"/>
      <c r="AK37" s="27"/>
      <c r="AL37" s="28"/>
      <c r="AM37" s="27"/>
      <c r="AN37" s="30"/>
      <c r="AP37" s="27"/>
      <c r="AQ37" s="28"/>
      <c r="AR37" s="31"/>
    </row>
    <row r="38" spans="1:44" ht="14.45" customHeight="1" x14ac:dyDescent="0.25">
      <c r="A38" s="15" t="s">
        <v>82</v>
      </c>
      <c r="B38" s="16" t="s">
        <v>83</v>
      </c>
      <c r="C38" s="17" t="s">
        <v>84</v>
      </c>
      <c r="D38" s="18" t="s">
        <v>35</v>
      </c>
      <c r="E38" s="19" t="s">
        <v>36</v>
      </c>
      <c r="F38" s="20" t="s">
        <v>37</v>
      </c>
      <c r="G38" s="21">
        <v>1476</v>
      </c>
      <c r="H38" s="22">
        <f t="shared" si="0"/>
        <v>424</v>
      </c>
      <c r="I38" s="158">
        <f t="shared" ref="I38:I50" si="14">SUM(G38:H38)</f>
        <v>1900</v>
      </c>
      <c r="J38" s="23">
        <f t="shared" ref="J38:J50" si="15">G38*2</f>
        <v>2952</v>
      </c>
      <c r="K38" s="24">
        <f t="shared" si="3"/>
        <v>848</v>
      </c>
      <c r="L38" s="24">
        <f t="shared" ref="L38:L50" si="16">SUM(J38:K38)</f>
        <v>3800</v>
      </c>
      <c r="M38" s="23">
        <f t="shared" ref="M38:M50" si="17">J38</f>
        <v>2952</v>
      </c>
      <c r="N38" s="24">
        <f t="shared" ref="N38:N50" si="18">$D$13</f>
        <v>848</v>
      </c>
      <c r="O38" s="24">
        <f t="shared" ref="O38:O50" si="19">SUM(M38:N38)</f>
        <v>3800</v>
      </c>
      <c r="P38" s="34"/>
      <c r="Q38" s="26"/>
      <c r="R38" s="34"/>
      <c r="S38" s="26"/>
      <c r="T38" s="23"/>
      <c r="U38" s="34"/>
      <c r="V38" s="200" t="s">
        <v>38</v>
      </c>
      <c r="W38" s="201"/>
      <c r="X38" s="201"/>
      <c r="Y38" s="201"/>
      <c r="Z38" s="201"/>
      <c r="AA38" s="201"/>
      <c r="AB38" s="202"/>
      <c r="AD38" s="27">
        <v>27</v>
      </c>
      <c r="AE38" s="28">
        <v>32</v>
      </c>
      <c r="AF38" s="29">
        <v>39</v>
      </c>
      <c r="AG38" s="28">
        <v>46</v>
      </c>
      <c r="AH38" s="27">
        <v>16</v>
      </c>
      <c r="AI38" s="30" t="s">
        <v>34</v>
      </c>
      <c r="AK38" s="27">
        <v>23</v>
      </c>
      <c r="AL38" s="28">
        <v>26</v>
      </c>
      <c r="AM38" s="27">
        <v>11</v>
      </c>
      <c r="AN38" s="30" t="s">
        <v>34</v>
      </c>
      <c r="AP38" s="27">
        <v>24</v>
      </c>
      <c r="AQ38" s="28">
        <v>16</v>
      </c>
      <c r="AR38" s="31" t="s">
        <v>42</v>
      </c>
    </row>
    <row r="39" spans="1:44" ht="14.45" customHeight="1" x14ac:dyDescent="0.25">
      <c r="A39" s="15" t="s">
        <v>82</v>
      </c>
      <c r="B39" s="16" t="s">
        <v>85</v>
      </c>
      <c r="C39" s="17" t="s">
        <v>86</v>
      </c>
      <c r="D39" s="18" t="s">
        <v>35</v>
      </c>
      <c r="E39" s="19" t="s">
        <v>36</v>
      </c>
      <c r="F39" s="20" t="s">
        <v>37</v>
      </c>
      <c r="G39" s="21">
        <v>1476</v>
      </c>
      <c r="H39" s="22">
        <f t="shared" si="0"/>
        <v>424</v>
      </c>
      <c r="I39" s="157">
        <f t="shared" si="14"/>
        <v>1900</v>
      </c>
      <c r="J39" s="23">
        <f t="shared" si="15"/>
        <v>2952</v>
      </c>
      <c r="K39" s="24">
        <f t="shared" si="3"/>
        <v>848</v>
      </c>
      <c r="L39" s="24">
        <f t="shared" si="16"/>
        <v>3800</v>
      </c>
      <c r="M39" s="23">
        <f t="shared" si="17"/>
        <v>2952</v>
      </c>
      <c r="N39" s="24">
        <f t="shared" si="18"/>
        <v>848</v>
      </c>
      <c r="O39" s="24">
        <f t="shared" si="19"/>
        <v>3800</v>
      </c>
      <c r="P39" s="34"/>
      <c r="Q39" s="26"/>
      <c r="R39" s="34"/>
      <c r="S39" s="26"/>
      <c r="T39" s="23"/>
      <c r="U39" s="34"/>
      <c r="V39" s="200" t="s">
        <v>38</v>
      </c>
      <c r="W39" s="201"/>
      <c r="X39" s="201"/>
      <c r="Y39" s="201"/>
      <c r="Z39" s="201"/>
      <c r="AA39" s="201"/>
      <c r="AB39" s="202"/>
      <c r="AD39" s="27">
        <v>27</v>
      </c>
      <c r="AE39" s="28">
        <v>32</v>
      </c>
      <c r="AF39" s="29">
        <v>39</v>
      </c>
      <c r="AG39" s="28">
        <v>46</v>
      </c>
      <c r="AH39" s="27">
        <v>9</v>
      </c>
      <c r="AI39" s="30" t="s">
        <v>34</v>
      </c>
      <c r="AK39" s="27">
        <v>28</v>
      </c>
      <c r="AL39" s="28">
        <v>31</v>
      </c>
      <c r="AM39" s="27">
        <v>16</v>
      </c>
      <c r="AN39" s="30" t="s">
        <v>34</v>
      </c>
      <c r="AP39" s="27">
        <v>22</v>
      </c>
      <c r="AQ39" s="28">
        <v>15</v>
      </c>
      <c r="AR39" s="31" t="s">
        <v>34</v>
      </c>
    </row>
    <row r="40" spans="1:44" ht="14.45" customHeight="1" x14ac:dyDescent="0.25">
      <c r="A40" s="15" t="s">
        <v>82</v>
      </c>
      <c r="B40" s="16" t="s">
        <v>87</v>
      </c>
      <c r="C40" s="17" t="s">
        <v>88</v>
      </c>
      <c r="D40" s="18" t="s">
        <v>35</v>
      </c>
      <c r="E40" s="19" t="s">
        <v>36</v>
      </c>
      <c r="F40" s="20" t="s">
        <v>37</v>
      </c>
      <c r="G40" s="21">
        <v>1476</v>
      </c>
      <c r="H40" s="22">
        <f t="shared" si="0"/>
        <v>424</v>
      </c>
      <c r="I40" s="157">
        <f t="shared" si="14"/>
        <v>1900</v>
      </c>
      <c r="J40" s="23">
        <f t="shared" si="15"/>
        <v>2952</v>
      </c>
      <c r="K40" s="24">
        <f t="shared" si="3"/>
        <v>848</v>
      </c>
      <c r="L40" s="24">
        <f t="shared" si="16"/>
        <v>3800</v>
      </c>
      <c r="M40" s="23">
        <f t="shared" si="17"/>
        <v>2952</v>
      </c>
      <c r="N40" s="24">
        <f t="shared" si="18"/>
        <v>848</v>
      </c>
      <c r="O40" s="24">
        <f t="shared" si="19"/>
        <v>3800</v>
      </c>
      <c r="P40" s="34"/>
      <c r="Q40" s="26"/>
      <c r="R40" s="34"/>
      <c r="S40" s="26"/>
      <c r="T40" s="23"/>
      <c r="U40" s="34"/>
      <c r="V40" s="200" t="s">
        <v>38</v>
      </c>
      <c r="W40" s="201"/>
      <c r="X40" s="201"/>
      <c r="Y40" s="201"/>
      <c r="Z40" s="201"/>
      <c r="AA40" s="201"/>
      <c r="AB40" s="202"/>
      <c r="AD40" s="27">
        <v>24</v>
      </c>
      <c r="AE40" s="28">
        <v>30</v>
      </c>
      <c r="AF40" s="29">
        <v>36</v>
      </c>
      <c r="AG40" s="28">
        <v>43</v>
      </c>
      <c r="AH40" s="27">
        <v>13</v>
      </c>
      <c r="AI40" s="30" t="s">
        <v>34</v>
      </c>
      <c r="AK40" s="27">
        <v>29</v>
      </c>
      <c r="AL40" s="28">
        <v>32</v>
      </c>
      <c r="AM40" s="27">
        <v>16</v>
      </c>
      <c r="AN40" s="30" t="s">
        <v>34</v>
      </c>
      <c r="AP40" s="27">
        <v>22</v>
      </c>
      <c r="AQ40" s="28">
        <v>13</v>
      </c>
      <c r="AR40" s="31" t="s">
        <v>42</v>
      </c>
    </row>
    <row r="41" spans="1:44" s="35" customFormat="1" ht="14.45" customHeight="1" x14ac:dyDescent="0.25">
      <c r="A41" s="15" t="s">
        <v>82</v>
      </c>
      <c r="B41" s="16" t="s">
        <v>89</v>
      </c>
      <c r="C41" s="17" t="s">
        <v>90</v>
      </c>
      <c r="D41" s="18" t="s">
        <v>35</v>
      </c>
      <c r="E41" s="19" t="s">
        <v>36</v>
      </c>
      <c r="F41" s="20" t="s">
        <v>37</v>
      </c>
      <c r="G41" s="21">
        <v>1576</v>
      </c>
      <c r="H41" s="22">
        <f t="shared" si="0"/>
        <v>424</v>
      </c>
      <c r="I41" s="157">
        <f t="shared" si="14"/>
        <v>2000</v>
      </c>
      <c r="J41" s="23">
        <f t="shared" si="15"/>
        <v>3152</v>
      </c>
      <c r="K41" s="24">
        <f t="shared" si="3"/>
        <v>848</v>
      </c>
      <c r="L41" s="24">
        <f t="shared" si="16"/>
        <v>4000</v>
      </c>
      <c r="M41" s="23">
        <f t="shared" si="17"/>
        <v>3152</v>
      </c>
      <c r="N41" s="24">
        <f t="shared" si="18"/>
        <v>848</v>
      </c>
      <c r="O41" s="24">
        <f t="shared" si="19"/>
        <v>4000</v>
      </c>
      <c r="P41" s="34"/>
      <c r="Q41" s="26"/>
      <c r="R41" s="34"/>
      <c r="S41" s="26"/>
      <c r="T41" s="23"/>
      <c r="U41" s="34"/>
      <c r="V41" s="200" t="s">
        <v>38</v>
      </c>
      <c r="W41" s="201"/>
      <c r="X41" s="201"/>
      <c r="Y41" s="201"/>
      <c r="Z41" s="201"/>
      <c r="AA41" s="201"/>
      <c r="AB41" s="202"/>
      <c r="AD41" s="27">
        <v>31</v>
      </c>
      <c r="AE41" s="28">
        <v>36</v>
      </c>
      <c r="AF41" s="29">
        <v>43</v>
      </c>
      <c r="AG41" s="28">
        <v>50</v>
      </c>
      <c r="AH41" s="27">
        <v>14</v>
      </c>
      <c r="AI41" s="30" t="s">
        <v>42</v>
      </c>
      <c r="AJ41" s="2"/>
      <c r="AK41" s="27">
        <v>26</v>
      </c>
      <c r="AL41" s="28">
        <v>29</v>
      </c>
      <c r="AM41" s="27">
        <v>10</v>
      </c>
      <c r="AN41" s="30" t="s">
        <v>91</v>
      </c>
      <c r="AP41" s="27">
        <v>21</v>
      </c>
      <c r="AQ41" s="28">
        <v>13</v>
      </c>
      <c r="AR41" s="31" t="s">
        <v>42</v>
      </c>
    </row>
    <row r="42" spans="1:44" ht="14.45" customHeight="1" x14ac:dyDescent="0.25">
      <c r="A42" s="15" t="s">
        <v>82</v>
      </c>
      <c r="B42" s="16" t="s">
        <v>92</v>
      </c>
      <c r="C42" s="17" t="s">
        <v>93</v>
      </c>
      <c r="D42" s="18" t="s">
        <v>35</v>
      </c>
      <c r="E42" s="19" t="s">
        <v>36</v>
      </c>
      <c r="F42" s="20" t="s">
        <v>37</v>
      </c>
      <c r="G42" s="21">
        <v>1476</v>
      </c>
      <c r="H42" s="22">
        <f t="shared" si="0"/>
        <v>424</v>
      </c>
      <c r="I42" s="157">
        <f t="shared" si="14"/>
        <v>1900</v>
      </c>
      <c r="J42" s="23">
        <f t="shared" si="15"/>
        <v>2952</v>
      </c>
      <c r="K42" s="24">
        <f t="shared" si="3"/>
        <v>848</v>
      </c>
      <c r="L42" s="24">
        <f t="shared" si="16"/>
        <v>3800</v>
      </c>
      <c r="M42" s="23">
        <f t="shared" si="17"/>
        <v>2952</v>
      </c>
      <c r="N42" s="24">
        <f t="shared" si="18"/>
        <v>848</v>
      </c>
      <c r="O42" s="24">
        <f t="shared" si="19"/>
        <v>3800</v>
      </c>
      <c r="P42" s="34"/>
      <c r="Q42" s="26"/>
      <c r="R42" s="34"/>
      <c r="S42" s="26"/>
      <c r="T42" s="23"/>
      <c r="U42" s="34"/>
      <c r="V42" s="200" t="s">
        <v>38</v>
      </c>
      <c r="W42" s="201"/>
      <c r="X42" s="201"/>
      <c r="Y42" s="201"/>
      <c r="Z42" s="201"/>
      <c r="AA42" s="201"/>
      <c r="AB42" s="202"/>
      <c r="AD42" s="27">
        <v>22</v>
      </c>
      <c r="AE42" s="28">
        <v>28</v>
      </c>
      <c r="AF42" s="29">
        <v>34</v>
      </c>
      <c r="AG42" s="28">
        <v>41</v>
      </c>
      <c r="AH42" s="27">
        <v>12</v>
      </c>
      <c r="AI42" s="30" t="s">
        <v>34</v>
      </c>
      <c r="AK42" s="27">
        <v>23</v>
      </c>
      <c r="AL42" s="28">
        <v>26</v>
      </c>
      <c r="AM42" s="27">
        <v>11</v>
      </c>
      <c r="AN42" s="30" t="s">
        <v>34</v>
      </c>
      <c r="AP42" s="27">
        <v>20</v>
      </c>
      <c r="AQ42" s="28">
        <v>11</v>
      </c>
      <c r="AR42" s="31" t="s">
        <v>42</v>
      </c>
    </row>
    <row r="43" spans="1:44" ht="14.45" customHeight="1" x14ac:dyDescent="0.25">
      <c r="A43" s="15" t="s">
        <v>82</v>
      </c>
      <c r="B43" s="16" t="s">
        <v>94</v>
      </c>
      <c r="C43" s="17" t="s">
        <v>95</v>
      </c>
      <c r="D43" s="18" t="s">
        <v>35</v>
      </c>
      <c r="E43" s="19" t="s">
        <v>36</v>
      </c>
      <c r="F43" s="20" t="s">
        <v>37</v>
      </c>
      <c r="G43" s="21">
        <v>1626</v>
      </c>
      <c r="H43" s="22">
        <f t="shared" si="0"/>
        <v>424</v>
      </c>
      <c r="I43" s="157">
        <f t="shared" si="14"/>
        <v>2050</v>
      </c>
      <c r="J43" s="23">
        <f t="shared" si="15"/>
        <v>3252</v>
      </c>
      <c r="K43" s="24">
        <f t="shared" si="3"/>
        <v>848</v>
      </c>
      <c r="L43" s="24">
        <f t="shared" si="16"/>
        <v>4100</v>
      </c>
      <c r="M43" s="23">
        <f t="shared" si="17"/>
        <v>3252</v>
      </c>
      <c r="N43" s="24">
        <f t="shared" si="18"/>
        <v>848</v>
      </c>
      <c r="O43" s="24">
        <f t="shared" si="19"/>
        <v>4100</v>
      </c>
      <c r="P43" s="34"/>
      <c r="Q43" s="26"/>
      <c r="R43" s="34"/>
      <c r="S43" s="26"/>
      <c r="T43" s="23"/>
      <c r="U43" s="34"/>
      <c r="V43" s="200" t="s">
        <v>38</v>
      </c>
      <c r="W43" s="201"/>
      <c r="X43" s="201"/>
      <c r="Y43" s="201"/>
      <c r="Z43" s="201"/>
      <c r="AA43" s="201"/>
      <c r="AB43" s="202"/>
      <c r="AD43" s="27">
        <v>25</v>
      </c>
      <c r="AE43" s="28">
        <v>31</v>
      </c>
      <c r="AF43" s="29">
        <v>37</v>
      </c>
      <c r="AG43" s="28">
        <v>44</v>
      </c>
      <c r="AH43" s="27">
        <v>8</v>
      </c>
      <c r="AI43" s="30" t="s">
        <v>42</v>
      </c>
      <c r="AK43" s="27">
        <v>20</v>
      </c>
      <c r="AL43" s="28">
        <v>23</v>
      </c>
      <c r="AM43" s="27">
        <v>8</v>
      </c>
      <c r="AN43" s="30" t="s">
        <v>42</v>
      </c>
      <c r="AP43" s="27">
        <v>22</v>
      </c>
      <c r="AQ43" s="28">
        <v>14</v>
      </c>
      <c r="AR43" s="31" t="s">
        <v>42</v>
      </c>
    </row>
    <row r="44" spans="1:44" ht="14.45" customHeight="1" x14ac:dyDescent="0.25">
      <c r="A44" s="15" t="s">
        <v>82</v>
      </c>
      <c r="B44" s="16" t="s">
        <v>96</v>
      </c>
      <c r="C44" s="17" t="s">
        <v>97</v>
      </c>
      <c r="D44" s="18" t="s">
        <v>35</v>
      </c>
      <c r="E44" s="19" t="s">
        <v>36</v>
      </c>
      <c r="F44" s="20" t="s">
        <v>37</v>
      </c>
      <c r="G44" s="21">
        <v>1526</v>
      </c>
      <c r="H44" s="22">
        <f t="shared" si="0"/>
        <v>424</v>
      </c>
      <c r="I44" s="157">
        <f t="shared" si="14"/>
        <v>1950</v>
      </c>
      <c r="J44" s="23">
        <f t="shared" si="15"/>
        <v>3052</v>
      </c>
      <c r="K44" s="24">
        <f t="shared" si="3"/>
        <v>848</v>
      </c>
      <c r="L44" s="24">
        <f t="shared" si="16"/>
        <v>3900</v>
      </c>
      <c r="M44" s="23">
        <f t="shared" si="17"/>
        <v>3052</v>
      </c>
      <c r="N44" s="24">
        <f t="shared" si="18"/>
        <v>848</v>
      </c>
      <c r="O44" s="24">
        <f t="shared" si="19"/>
        <v>3900</v>
      </c>
      <c r="P44" s="34"/>
      <c r="Q44" s="26"/>
      <c r="R44" s="34"/>
      <c r="S44" s="26"/>
      <c r="T44" s="23"/>
      <c r="U44" s="34"/>
      <c r="V44" s="200" t="s">
        <v>38</v>
      </c>
      <c r="W44" s="201"/>
      <c r="X44" s="201"/>
      <c r="Y44" s="201"/>
      <c r="Z44" s="201"/>
      <c r="AA44" s="201"/>
      <c r="AB44" s="202"/>
      <c r="AD44" s="27">
        <v>33</v>
      </c>
      <c r="AE44" s="28">
        <v>40</v>
      </c>
      <c r="AF44" s="29">
        <v>45</v>
      </c>
      <c r="AG44" s="28">
        <v>52</v>
      </c>
      <c r="AH44" s="27">
        <v>16</v>
      </c>
      <c r="AI44" s="30" t="s">
        <v>98</v>
      </c>
      <c r="AK44" s="27">
        <v>30</v>
      </c>
      <c r="AL44" s="28">
        <v>33</v>
      </c>
      <c r="AM44" s="27">
        <v>18</v>
      </c>
      <c r="AN44" s="30" t="s">
        <v>98</v>
      </c>
      <c r="AP44" s="27">
        <v>24</v>
      </c>
      <c r="AQ44" s="28">
        <v>16</v>
      </c>
      <c r="AR44" s="31" t="s">
        <v>99</v>
      </c>
    </row>
    <row r="45" spans="1:44" ht="14.45" customHeight="1" x14ac:dyDescent="0.25">
      <c r="A45" s="15" t="s">
        <v>82</v>
      </c>
      <c r="B45" s="16" t="s">
        <v>100</v>
      </c>
      <c r="C45" s="17" t="s">
        <v>101</v>
      </c>
      <c r="D45" s="18" t="s">
        <v>35</v>
      </c>
      <c r="E45" s="19" t="s">
        <v>36</v>
      </c>
      <c r="F45" s="20" t="s">
        <v>37</v>
      </c>
      <c r="G45" s="21">
        <v>1526</v>
      </c>
      <c r="H45" s="22">
        <f t="shared" si="0"/>
        <v>424</v>
      </c>
      <c r="I45" s="157">
        <f t="shared" si="14"/>
        <v>1950</v>
      </c>
      <c r="J45" s="23">
        <f t="shared" si="15"/>
        <v>3052</v>
      </c>
      <c r="K45" s="24">
        <f t="shared" si="3"/>
        <v>848</v>
      </c>
      <c r="L45" s="24">
        <f t="shared" si="16"/>
        <v>3900</v>
      </c>
      <c r="M45" s="23">
        <f t="shared" si="17"/>
        <v>3052</v>
      </c>
      <c r="N45" s="24">
        <f t="shared" si="18"/>
        <v>848</v>
      </c>
      <c r="O45" s="24">
        <f t="shared" si="19"/>
        <v>3900</v>
      </c>
      <c r="P45" s="34"/>
      <c r="Q45" s="26"/>
      <c r="R45" s="34"/>
      <c r="S45" s="26"/>
      <c r="T45" s="23"/>
      <c r="U45" s="34"/>
      <c r="V45" s="200" t="s">
        <v>38</v>
      </c>
      <c r="W45" s="201"/>
      <c r="X45" s="201"/>
      <c r="Y45" s="201"/>
      <c r="Z45" s="201"/>
      <c r="AA45" s="201"/>
      <c r="AB45" s="202"/>
      <c r="AD45" s="27">
        <v>33</v>
      </c>
      <c r="AE45" s="28">
        <v>40</v>
      </c>
      <c r="AF45" s="29">
        <v>45</v>
      </c>
      <c r="AG45" s="28">
        <v>52</v>
      </c>
      <c r="AH45" s="27">
        <v>16</v>
      </c>
      <c r="AI45" s="30" t="s">
        <v>98</v>
      </c>
      <c r="AK45" s="27">
        <v>29</v>
      </c>
      <c r="AL45" s="28">
        <v>32</v>
      </c>
      <c r="AM45" s="27">
        <v>17</v>
      </c>
      <c r="AN45" s="30" t="s">
        <v>98</v>
      </c>
      <c r="AP45" s="27">
        <v>23</v>
      </c>
      <c r="AQ45" s="28">
        <v>15</v>
      </c>
      <c r="AR45" s="31" t="s">
        <v>99</v>
      </c>
    </row>
    <row r="46" spans="1:44" ht="14.45" customHeight="1" x14ac:dyDescent="0.25">
      <c r="A46" s="15" t="s">
        <v>82</v>
      </c>
      <c r="B46" s="16" t="s">
        <v>102</v>
      </c>
      <c r="C46" s="17" t="s">
        <v>103</v>
      </c>
      <c r="D46" s="18" t="s">
        <v>35</v>
      </c>
      <c r="E46" s="19" t="s">
        <v>36</v>
      </c>
      <c r="F46" s="20" t="s">
        <v>37</v>
      </c>
      <c r="G46" s="21">
        <v>1476</v>
      </c>
      <c r="H46" s="22">
        <f t="shared" si="0"/>
        <v>424</v>
      </c>
      <c r="I46" s="157">
        <f t="shared" si="14"/>
        <v>1900</v>
      </c>
      <c r="J46" s="23">
        <f t="shared" si="15"/>
        <v>2952</v>
      </c>
      <c r="K46" s="24">
        <f t="shared" si="3"/>
        <v>848</v>
      </c>
      <c r="L46" s="24">
        <f t="shared" si="16"/>
        <v>3800</v>
      </c>
      <c r="M46" s="23">
        <f t="shared" si="17"/>
        <v>2952</v>
      </c>
      <c r="N46" s="24">
        <f t="shared" si="18"/>
        <v>848</v>
      </c>
      <c r="O46" s="24">
        <f t="shared" si="19"/>
        <v>3800</v>
      </c>
      <c r="P46" s="34"/>
      <c r="Q46" s="26"/>
      <c r="R46" s="34"/>
      <c r="S46" s="26"/>
      <c r="T46" s="23"/>
      <c r="U46" s="34"/>
      <c r="V46" s="200" t="s">
        <v>38</v>
      </c>
      <c r="W46" s="201"/>
      <c r="X46" s="201"/>
      <c r="Y46" s="201"/>
      <c r="Z46" s="201"/>
      <c r="AA46" s="201"/>
      <c r="AB46" s="202"/>
      <c r="AD46" s="27">
        <v>27</v>
      </c>
      <c r="AE46" s="28">
        <v>33</v>
      </c>
      <c r="AF46" s="29">
        <v>39</v>
      </c>
      <c r="AG46" s="28">
        <v>45</v>
      </c>
      <c r="AH46" s="27">
        <v>16</v>
      </c>
      <c r="AI46" s="30" t="s">
        <v>34</v>
      </c>
      <c r="AK46" s="27">
        <v>24</v>
      </c>
      <c r="AL46" s="28">
        <v>27</v>
      </c>
      <c r="AM46" s="27">
        <v>11</v>
      </c>
      <c r="AN46" s="30" t="s">
        <v>34</v>
      </c>
      <c r="AP46" s="27">
        <v>25</v>
      </c>
      <c r="AQ46" s="28">
        <v>16</v>
      </c>
      <c r="AR46" s="31" t="s">
        <v>42</v>
      </c>
    </row>
    <row r="47" spans="1:44" ht="14.45" customHeight="1" x14ac:dyDescent="0.25">
      <c r="A47" s="15" t="s">
        <v>82</v>
      </c>
      <c r="B47" s="16" t="s">
        <v>104</v>
      </c>
      <c r="C47" s="17" t="s">
        <v>105</v>
      </c>
      <c r="D47" s="18" t="s">
        <v>35</v>
      </c>
      <c r="E47" s="19" t="s">
        <v>36</v>
      </c>
      <c r="F47" s="20" t="s">
        <v>37</v>
      </c>
      <c r="G47" s="21">
        <v>1576</v>
      </c>
      <c r="H47" s="22">
        <f t="shared" si="0"/>
        <v>424</v>
      </c>
      <c r="I47" s="157">
        <f t="shared" si="14"/>
        <v>2000</v>
      </c>
      <c r="J47" s="23">
        <f t="shared" si="15"/>
        <v>3152</v>
      </c>
      <c r="K47" s="24">
        <f t="shared" si="3"/>
        <v>848</v>
      </c>
      <c r="L47" s="24">
        <f t="shared" si="16"/>
        <v>4000</v>
      </c>
      <c r="M47" s="23">
        <f t="shared" si="17"/>
        <v>3152</v>
      </c>
      <c r="N47" s="24">
        <f t="shared" si="18"/>
        <v>848</v>
      </c>
      <c r="O47" s="24">
        <f t="shared" si="19"/>
        <v>4000</v>
      </c>
      <c r="P47" s="34"/>
      <c r="Q47" s="26"/>
      <c r="R47" s="34"/>
      <c r="S47" s="26"/>
      <c r="T47" s="23"/>
      <c r="U47" s="34"/>
      <c r="V47" s="200" t="s">
        <v>38</v>
      </c>
      <c r="W47" s="201"/>
      <c r="X47" s="201"/>
      <c r="Y47" s="201"/>
      <c r="Z47" s="201"/>
      <c r="AA47" s="201"/>
      <c r="AB47" s="202"/>
      <c r="AD47" s="27">
        <v>31</v>
      </c>
      <c r="AE47" s="28">
        <v>37</v>
      </c>
      <c r="AF47" s="29">
        <v>43</v>
      </c>
      <c r="AG47" s="28">
        <v>50</v>
      </c>
      <c r="AH47" s="27">
        <v>14</v>
      </c>
      <c r="AI47" s="30" t="s">
        <v>98</v>
      </c>
      <c r="AK47" s="27">
        <v>27</v>
      </c>
      <c r="AL47" s="28">
        <v>30</v>
      </c>
      <c r="AM47" s="27">
        <v>15</v>
      </c>
      <c r="AN47" s="30" t="s">
        <v>106</v>
      </c>
      <c r="AP47" s="27">
        <v>21</v>
      </c>
      <c r="AQ47" s="28">
        <v>13</v>
      </c>
      <c r="AR47" s="31" t="s">
        <v>99</v>
      </c>
    </row>
    <row r="48" spans="1:44" ht="14.45" customHeight="1" x14ac:dyDescent="0.25">
      <c r="A48" s="15" t="s">
        <v>107</v>
      </c>
      <c r="B48" s="16" t="s">
        <v>108</v>
      </c>
      <c r="C48" s="17" t="s">
        <v>109</v>
      </c>
      <c r="D48" s="18" t="s">
        <v>35</v>
      </c>
      <c r="E48" s="19" t="s">
        <v>36</v>
      </c>
      <c r="F48" s="20" t="s">
        <v>37</v>
      </c>
      <c r="G48" s="21">
        <v>1426</v>
      </c>
      <c r="H48" s="22">
        <f t="shared" si="0"/>
        <v>424</v>
      </c>
      <c r="I48" s="157">
        <f t="shared" si="14"/>
        <v>1850</v>
      </c>
      <c r="J48" s="23">
        <f t="shared" si="15"/>
        <v>2852</v>
      </c>
      <c r="K48" s="24">
        <f t="shared" si="3"/>
        <v>848</v>
      </c>
      <c r="L48" s="24">
        <f t="shared" si="16"/>
        <v>3700</v>
      </c>
      <c r="M48" s="23">
        <f t="shared" si="17"/>
        <v>2852</v>
      </c>
      <c r="N48" s="24">
        <f t="shared" si="18"/>
        <v>848</v>
      </c>
      <c r="O48" s="24">
        <f t="shared" si="19"/>
        <v>3700</v>
      </c>
      <c r="P48" s="25">
        <f t="shared" si="10"/>
        <v>871</v>
      </c>
      <c r="Q48" s="32">
        <f>H48</f>
        <v>424</v>
      </c>
      <c r="R48" s="25">
        <f t="shared" si="11"/>
        <v>1295</v>
      </c>
      <c r="S48" s="26">
        <f>P48*2</f>
        <v>1742</v>
      </c>
      <c r="T48" s="26">
        <f>K48</f>
        <v>848</v>
      </c>
      <c r="U48" s="34">
        <f t="shared" si="13"/>
        <v>2590</v>
      </c>
      <c r="V48" s="200" t="s">
        <v>38</v>
      </c>
      <c r="W48" s="201"/>
      <c r="X48" s="201"/>
      <c r="Y48" s="201"/>
      <c r="Z48" s="201"/>
      <c r="AA48" s="201"/>
      <c r="AB48" s="202"/>
      <c r="AD48" s="27">
        <v>23</v>
      </c>
      <c r="AE48" s="28">
        <v>29</v>
      </c>
      <c r="AF48" s="29">
        <v>35</v>
      </c>
      <c r="AG48" s="28">
        <v>42</v>
      </c>
      <c r="AH48" s="27">
        <v>10</v>
      </c>
      <c r="AI48" s="30" t="s">
        <v>34</v>
      </c>
      <c r="AK48" s="27">
        <v>27</v>
      </c>
      <c r="AL48" s="28">
        <v>30</v>
      </c>
      <c r="AM48" s="27">
        <v>14</v>
      </c>
      <c r="AN48" s="30" t="s">
        <v>34</v>
      </c>
      <c r="AP48" s="27">
        <v>21</v>
      </c>
      <c r="AQ48" s="28">
        <v>13</v>
      </c>
      <c r="AR48" s="31" t="s">
        <v>42</v>
      </c>
    </row>
    <row r="49" spans="1:44" ht="14.45" customHeight="1" x14ac:dyDescent="0.25">
      <c r="A49" s="15" t="s">
        <v>110</v>
      </c>
      <c r="B49" s="16" t="s">
        <v>111</v>
      </c>
      <c r="C49" s="17" t="s">
        <v>112</v>
      </c>
      <c r="D49" s="18" t="s">
        <v>35</v>
      </c>
      <c r="E49" s="19" t="s">
        <v>36</v>
      </c>
      <c r="F49" s="20" t="s">
        <v>37</v>
      </c>
      <c r="G49" s="21">
        <v>1426</v>
      </c>
      <c r="H49" s="22">
        <f t="shared" si="0"/>
        <v>424</v>
      </c>
      <c r="I49" s="157">
        <f t="shared" si="14"/>
        <v>1850</v>
      </c>
      <c r="J49" s="23">
        <f t="shared" si="15"/>
        <v>2852</v>
      </c>
      <c r="K49" s="24">
        <f t="shared" si="3"/>
        <v>848</v>
      </c>
      <c r="L49" s="24">
        <f t="shared" si="16"/>
        <v>3700</v>
      </c>
      <c r="M49" s="23">
        <f t="shared" si="17"/>
        <v>2852</v>
      </c>
      <c r="N49" s="24">
        <f t="shared" si="18"/>
        <v>848</v>
      </c>
      <c r="O49" s="24">
        <f t="shared" si="19"/>
        <v>3700</v>
      </c>
      <c r="P49" s="25">
        <f t="shared" si="10"/>
        <v>871</v>
      </c>
      <c r="Q49" s="32">
        <f>H49</f>
        <v>424</v>
      </c>
      <c r="R49" s="25">
        <f t="shared" si="11"/>
        <v>1295</v>
      </c>
      <c r="S49" s="26">
        <f t="shared" ref="S49:S50" si="20">P49*2</f>
        <v>1742</v>
      </c>
      <c r="T49" s="26">
        <f>K49</f>
        <v>848</v>
      </c>
      <c r="U49" s="34">
        <f t="shared" si="13"/>
        <v>2590</v>
      </c>
      <c r="V49" s="200" t="s">
        <v>38</v>
      </c>
      <c r="W49" s="201"/>
      <c r="X49" s="201"/>
      <c r="Y49" s="201"/>
      <c r="Z49" s="201"/>
      <c r="AA49" s="201"/>
      <c r="AB49" s="202"/>
      <c r="AD49" s="27">
        <v>22</v>
      </c>
      <c r="AE49" s="28">
        <v>27</v>
      </c>
      <c r="AF49" s="29">
        <v>34</v>
      </c>
      <c r="AG49" s="28">
        <v>41</v>
      </c>
      <c r="AH49" s="27">
        <v>11</v>
      </c>
      <c r="AI49" s="30" t="s">
        <v>34</v>
      </c>
      <c r="AK49" s="27">
        <v>22</v>
      </c>
      <c r="AL49" s="28">
        <v>25</v>
      </c>
      <c r="AM49" s="27">
        <v>9</v>
      </c>
      <c r="AN49" s="30" t="s">
        <v>34</v>
      </c>
      <c r="AP49" s="27">
        <v>19</v>
      </c>
      <c r="AQ49" s="28">
        <v>12</v>
      </c>
      <c r="AR49" s="31" t="s">
        <v>34</v>
      </c>
    </row>
    <row r="50" spans="1:44" ht="14.45" customHeight="1" x14ac:dyDescent="0.25">
      <c r="A50" s="15" t="s">
        <v>113</v>
      </c>
      <c r="B50" s="16" t="s">
        <v>114</v>
      </c>
      <c r="C50" s="17" t="s">
        <v>115</v>
      </c>
      <c r="D50" s="18" t="s">
        <v>35</v>
      </c>
      <c r="E50" s="19" t="s">
        <v>36</v>
      </c>
      <c r="F50" s="20" t="s">
        <v>37</v>
      </c>
      <c r="G50" s="21">
        <v>1526</v>
      </c>
      <c r="H50" s="22">
        <f t="shared" si="0"/>
        <v>424</v>
      </c>
      <c r="I50" s="157">
        <f t="shared" si="14"/>
        <v>1950</v>
      </c>
      <c r="J50" s="23">
        <f t="shared" si="15"/>
        <v>3052</v>
      </c>
      <c r="K50" s="24">
        <f t="shared" si="3"/>
        <v>848</v>
      </c>
      <c r="L50" s="156">
        <f t="shared" si="16"/>
        <v>3900</v>
      </c>
      <c r="M50" s="23">
        <f t="shared" si="17"/>
        <v>3052</v>
      </c>
      <c r="N50" s="24">
        <f t="shared" si="18"/>
        <v>848</v>
      </c>
      <c r="O50" s="24">
        <f t="shared" si="19"/>
        <v>3900</v>
      </c>
      <c r="P50" s="25">
        <f t="shared" si="10"/>
        <v>941</v>
      </c>
      <c r="Q50" s="32">
        <f>H50</f>
        <v>424</v>
      </c>
      <c r="R50" s="25">
        <f t="shared" si="11"/>
        <v>1365</v>
      </c>
      <c r="S50" s="26">
        <f t="shared" si="20"/>
        <v>1882</v>
      </c>
      <c r="T50" s="26">
        <f>K50</f>
        <v>848</v>
      </c>
      <c r="U50" s="34">
        <f t="shared" si="13"/>
        <v>2730</v>
      </c>
      <c r="V50" s="200" t="s">
        <v>38</v>
      </c>
      <c r="W50" s="201"/>
      <c r="X50" s="201"/>
      <c r="Y50" s="201"/>
      <c r="Z50" s="201"/>
      <c r="AA50" s="201"/>
      <c r="AB50" s="202"/>
      <c r="AD50" s="27">
        <v>28</v>
      </c>
      <c r="AE50" s="28">
        <v>34</v>
      </c>
      <c r="AF50" s="29">
        <v>40</v>
      </c>
      <c r="AG50" s="28">
        <v>47</v>
      </c>
      <c r="AH50" s="27">
        <v>17</v>
      </c>
      <c r="AI50" s="30" t="s">
        <v>34</v>
      </c>
      <c r="AK50" s="27">
        <v>26</v>
      </c>
      <c r="AL50" s="28">
        <v>29</v>
      </c>
      <c r="AM50" s="27">
        <v>14</v>
      </c>
      <c r="AN50" s="30" t="s">
        <v>34</v>
      </c>
      <c r="AP50" s="27">
        <v>20</v>
      </c>
      <c r="AQ50" s="28">
        <v>13</v>
      </c>
      <c r="AR50" s="31" t="s">
        <v>34</v>
      </c>
    </row>
    <row r="51" spans="1:44" ht="14.45" customHeight="1" x14ac:dyDescent="0.25">
      <c r="A51" s="15"/>
      <c r="B51" s="16"/>
      <c r="C51" s="17"/>
      <c r="D51" s="18"/>
      <c r="E51" s="36"/>
      <c r="F51" s="20"/>
      <c r="G51" s="23"/>
      <c r="H51" s="24"/>
      <c r="I51" s="156"/>
      <c r="J51" s="23"/>
      <c r="K51" s="24"/>
      <c r="L51" s="156"/>
      <c r="M51" s="23"/>
      <c r="N51" s="24"/>
      <c r="O51" s="24"/>
      <c r="P51" s="34"/>
      <c r="Q51" s="23"/>
      <c r="R51" s="34"/>
      <c r="S51" s="26"/>
      <c r="T51" s="23"/>
      <c r="U51" s="34"/>
      <c r="V51" s="200"/>
      <c r="W51" s="201"/>
      <c r="X51" s="201"/>
      <c r="Y51" s="201"/>
      <c r="Z51" s="201"/>
      <c r="AA51" s="201"/>
      <c r="AB51" s="202"/>
      <c r="AD51" s="27"/>
      <c r="AE51" s="28"/>
      <c r="AF51" s="29"/>
      <c r="AG51" s="28"/>
      <c r="AH51" s="27"/>
      <c r="AI51" s="30"/>
      <c r="AK51" s="27"/>
      <c r="AL51" s="28"/>
      <c r="AM51" s="27"/>
      <c r="AN51" s="30"/>
      <c r="AP51" s="27"/>
      <c r="AQ51" s="28"/>
      <c r="AR51" s="31"/>
    </row>
    <row r="52" spans="1:44" ht="14.45" customHeight="1" x14ac:dyDescent="0.25">
      <c r="A52" s="15" t="s">
        <v>116</v>
      </c>
      <c r="B52" s="16" t="s">
        <v>117</v>
      </c>
      <c r="C52" s="17" t="s">
        <v>118</v>
      </c>
      <c r="D52" s="18" t="s">
        <v>35</v>
      </c>
      <c r="E52" s="19" t="s">
        <v>36</v>
      </c>
      <c r="F52" s="20" t="s">
        <v>37</v>
      </c>
      <c r="G52" s="21">
        <v>6376</v>
      </c>
      <c r="H52" s="22">
        <f t="shared" si="0"/>
        <v>424</v>
      </c>
      <c r="I52" s="158">
        <f>G52+H52</f>
        <v>6800</v>
      </c>
      <c r="J52" s="23">
        <v>11752</v>
      </c>
      <c r="K52" s="24">
        <f t="shared" si="3"/>
        <v>848</v>
      </c>
      <c r="L52" s="156">
        <f>J52+K52</f>
        <v>12600</v>
      </c>
      <c r="M52" s="23">
        <f t="shared" ref="M52:M61" si="21">J52</f>
        <v>11752</v>
      </c>
      <c r="N52" s="24">
        <f t="shared" ref="N52:N61" si="22">$D$13</f>
        <v>848</v>
      </c>
      <c r="O52" s="24">
        <f>M52+N52</f>
        <v>12600</v>
      </c>
      <c r="P52" s="25">
        <f t="shared" si="10"/>
        <v>4336</v>
      </c>
      <c r="Q52" s="32">
        <f t="shared" ref="Q52:Q61" si="23">H52</f>
        <v>424</v>
      </c>
      <c r="R52" s="25">
        <f t="shared" si="11"/>
        <v>4760</v>
      </c>
      <c r="S52" s="26">
        <f>U52-T52</f>
        <v>7972</v>
      </c>
      <c r="T52" s="26">
        <f t="shared" ref="T52:T61" si="24">K52</f>
        <v>848</v>
      </c>
      <c r="U52" s="34">
        <f>L52*0.7</f>
        <v>8820</v>
      </c>
      <c r="V52" s="200" t="s">
        <v>38</v>
      </c>
      <c r="W52" s="201"/>
      <c r="X52" s="201"/>
      <c r="Y52" s="201"/>
      <c r="Z52" s="201"/>
      <c r="AA52" s="201"/>
      <c r="AB52" s="202"/>
      <c r="AD52" s="27">
        <v>33</v>
      </c>
      <c r="AE52" s="28">
        <v>39</v>
      </c>
      <c r="AF52" s="29">
        <v>45</v>
      </c>
      <c r="AG52" s="28">
        <v>52</v>
      </c>
      <c r="AH52" s="27">
        <v>17</v>
      </c>
      <c r="AI52" s="30" t="s">
        <v>42</v>
      </c>
      <c r="AK52" s="27">
        <v>35</v>
      </c>
      <c r="AL52" s="28">
        <v>38</v>
      </c>
      <c r="AM52" s="27">
        <v>22</v>
      </c>
      <c r="AN52" s="30" t="s">
        <v>42</v>
      </c>
      <c r="AP52" s="27">
        <v>24</v>
      </c>
      <c r="AQ52" s="28">
        <v>16</v>
      </c>
      <c r="AR52" s="31" t="s">
        <v>42</v>
      </c>
    </row>
    <row r="53" spans="1:44" ht="14.45" customHeight="1" x14ac:dyDescent="0.25">
      <c r="A53" s="15" t="s">
        <v>116</v>
      </c>
      <c r="B53" s="16" t="s">
        <v>119</v>
      </c>
      <c r="C53" s="17" t="s">
        <v>120</v>
      </c>
      <c r="D53" s="18" t="s">
        <v>35</v>
      </c>
      <c r="E53" s="19" t="s">
        <v>36</v>
      </c>
      <c r="F53" s="20" t="s">
        <v>37</v>
      </c>
      <c r="G53" s="21">
        <v>6376</v>
      </c>
      <c r="H53" s="22">
        <f t="shared" si="0"/>
        <v>424</v>
      </c>
      <c r="I53" s="22">
        <f t="shared" ref="I53:I61" si="25">G53+H53</f>
        <v>6800</v>
      </c>
      <c r="J53" s="23">
        <v>11752</v>
      </c>
      <c r="K53" s="24">
        <f t="shared" si="3"/>
        <v>848</v>
      </c>
      <c r="L53" s="156">
        <f t="shared" ref="L53:L61" si="26">J53+K53</f>
        <v>12600</v>
      </c>
      <c r="M53" s="23">
        <f t="shared" si="21"/>
        <v>11752</v>
      </c>
      <c r="N53" s="24">
        <f t="shared" si="22"/>
        <v>848</v>
      </c>
      <c r="O53" s="24">
        <f t="shared" ref="O53:O61" si="27">M53+N53</f>
        <v>12600</v>
      </c>
      <c r="P53" s="25">
        <f t="shared" si="10"/>
        <v>4336</v>
      </c>
      <c r="Q53" s="32">
        <f t="shared" si="23"/>
        <v>424</v>
      </c>
      <c r="R53" s="25">
        <f t="shared" si="11"/>
        <v>4760</v>
      </c>
      <c r="S53" s="26">
        <f t="shared" ref="S53:S61" si="28">U53-T53</f>
        <v>7972</v>
      </c>
      <c r="T53" s="26">
        <f t="shared" si="24"/>
        <v>848</v>
      </c>
      <c r="U53" s="34">
        <f t="shared" ref="U53:U61" si="29">L53*0.7</f>
        <v>8820</v>
      </c>
      <c r="V53" s="200" t="s">
        <v>38</v>
      </c>
      <c r="W53" s="201"/>
      <c r="X53" s="201"/>
      <c r="Y53" s="201"/>
      <c r="Z53" s="201"/>
      <c r="AA53" s="201"/>
      <c r="AB53" s="202"/>
      <c r="AD53" s="27">
        <v>31</v>
      </c>
      <c r="AE53" s="28">
        <v>37</v>
      </c>
      <c r="AF53" s="29">
        <v>43</v>
      </c>
      <c r="AG53" s="28">
        <v>51</v>
      </c>
      <c r="AH53" s="27">
        <v>14</v>
      </c>
      <c r="AI53" s="30" t="s">
        <v>42</v>
      </c>
      <c r="AK53" s="27">
        <v>29</v>
      </c>
      <c r="AL53" s="28">
        <v>32</v>
      </c>
      <c r="AM53" s="27">
        <v>16</v>
      </c>
      <c r="AN53" s="30" t="s">
        <v>42</v>
      </c>
      <c r="AP53" s="27">
        <v>22</v>
      </c>
      <c r="AQ53" s="28">
        <v>13</v>
      </c>
      <c r="AR53" s="31" t="s">
        <v>42</v>
      </c>
    </row>
    <row r="54" spans="1:44" ht="14.45" customHeight="1" x14ac:dyDescent="0.25">
      <c r="A54" s="15" t="s">
        <v>121</v>
      </c>
      <c r="B54" s="16" t="s">
        <v>122</v>
      </c>
      <c r="C54" s="17" t="s">
        <v>123</v>
      </c>
      <c r="D54" s="18" t="s">
        <v>35</v>
      </c>
      <c r="E54" s="19" t="s">
        <v>36</v>
      </c>
      <c r="F54" s="20" t="s">
        <v>37</v>
      </c>
      <c r="G54" s="21">
        <v>5101</v>
      </c>
      <c r="H54" s="22">
        <f t="shared" si="0"/>
        <v>424</v>
      </c>
      <c r="I54" s="22">
        <f t="shared" si="25"/>
        <v>5525</v>
      </c>
      <c r="J54" s="23">
        <v>9202</v>
      </c>
      <c r="K54" s="24">
        <f t="shared" si="3"/>
        <v>848</v>
      </c>
      <c r="L54" s="156">
        <f t="shared" si="26"/>
        <v>10050</v>
      </c>
      <c r="M54" s="23">
        <f t="shared" si="21"/>
        <v>9202</v>
      </c>
      <c r="N54" s="24">
        <f t="shared" si="22"/>
        <v>848</v>
      </c>
      <c r="O54" s="24">
        <f t="shared" si="27"/>
        <v>10050</v>
      </c>
      <c r="P54" s="25">
        <f t="shared" si="10"/>
        <v>3443.4999999999995</v>
      </c>
      <c r="Q54" s="32">
        <f t="shared" si="23"/>
        <v>424</v>
      </c>
      <c r="R54" s="25">
        <f t="shared" si="11"/>
        <v>3867.4999999999995</v>
      </c>
      <c r="S54" s="26">
        <f t="shared" si="28"/>
        <v>6187</v>
      </c>
      <c r="T54" s="26">
        <f t="shared" si="24"/>
        <v>848</v>
      </c>
      <c r="U54" s="34">
        <f t="shared" si="29"/>
        <v>7035</v>
      </c>
      <c r="V54" s="200" t="s">
        <v>38</v>
      </c>
      <c r="W54" s="201"/>
      <c r="X54" s="201"/>
      <c r="Y54" s="201"/>
      <c r="Z54" s="201"/>
      <c r="AA54" s="201"/>
      <c r="AB54" s="202"/>
      <c r="AD54" s="27">
        <v>34</v>
      </c>
      <c r="AE54" s="28">
        <v>40</v>
      </c>
      <c r="AF54" s="29">
        <v>46</v>
      </c>
      <c r="AG54" s="28">
        <v>54</v>
      </c>
      <c r="AH54" s="27">
        <v>17</v>
      </c>
      <c r="AI54" s="30" t="s">
        <v>42</v>
      </c>
      <c r="AK54" s="27">
        <v>37</v>
      </c>
      <c r="AL54" s="28">
        <v>40</v>
      </c>
      <c r="AM54" s="27">
        <v>25</v>
      </c>
      <c r="AN54" s="30" t="s">
        <v>42</v>
      </c>
      <c r="AP54" s="27">
        <v>25</v>
      </c>
      <c r="AQ54" s="28">
        <v>16</v>
      </c>
      <c r="AR54" s="31" t="s">
        <v>42</v>
      </c>
    </row>
    <row r="55" spans="1:44" ht="14.45" customHeight="1" x14ac:dyDescent="0.25">
      <c r="A55" s="15" t="s">
        <v>121</v>
      </c>
      <c r="B55" s="16" t="s">
        <v>124</v>
      </c>
      <c r="C55" s="17" t="s">
        <v>125</v>
      </c>
      <c r="D55" s="18" t="s">
        <v>35</v>
      </c>
      <c r="E55" s="19" t="s">
        <v>36</v>
      </c>
      <c r="F55" s="20" t="s">
        <v>37</v>
      </c>
      <c r="G55" s="21">
        <v>7101</v>
      </c>
      <c r="H55" s="22">
        <f t="shared" si="0"/>
        <v>424</v>
      </c>
      <c r="I55" s="22">
        <f t="shared" si="25"/>
        <v>7525</v>
      </c>
      <c r="J55" s="23">
        <v>13202</v>
      </c>
      <c r="K55" s="24">
        <f t="shared" si="3"/>
        <v>848</v>
      </c>
      <c r="L55" s="156">
        <f t="shared" si="26"/>
        <v>14050</v>
      </c>
      <c r="M55" s="23">
        <f t="shared" si="21"/>
        <v>13202</v>
      </c>
      <c r="N55" s="24">
        <f t="shared" si="22"/>
        <v>848</v>
      </c>
      <c r="O55" s="24">
        <f t="shared" si="27"/>
        <v>14050</v>
      </c>
      <c r="P55" s="25">
        <f t="shared" si="10"/>
        <v>4843.5</v>
      </c>
      <c r="Q55" s="32">
        <f t="shared" si="23"/>
        <v>424</v>
      </c>
      <c r="R55" s="25">
        <f t="shared" si="11"/>
        <v>5267.5</v>
      </c>
      <c r="S55" s="26">
        <f t="shared" si="28"/>
        <v>8987</v>
      </c>
      <c r="T55" s="26">
        <f t="shared" si="24"/>
        <v>848</v>
      </c>
      <c r="U55" s="34">
        <f t="shared" si="29"/>
        <v>9835</v>
      </c>
      <c r="V55" s="200" t="s">
        <v>38</v>
      </c>
      <c r="W55" s="201"/>
      <c r="X55" s="201"/>
      <c r="Y55" s="201"/>
      <c r="Z55" s="201"/>
      <c r="AA55" s="201"/>
      <c r="AB55" s="202"/>
      <c r="AD55" s="27">
        <v>27</v>
      </c>
      <c r="AE55" s="28">
        <v>33</v>
      </c>
      <c r="AF55" s="29">
        <v>39</v>
      </c>
      <c r="AG55" s="28">
        <v>46</v>
      </c>
      <c r="AH55" s="27">
        <v>17</v>
      </c>
      <c r="AI55" s="30" t="s">
        <v>34</v>
      </c>
      <c r="AK55" s="27">
        <v>31</v>
      </c>
      <c r="AL55" s="28">
        <v>34</v>
      </c>
      <c r="AM55" s="27">
        <v>19</v>
      </c>
      <c r="AN55" s="30" t="s">
        <v>42</v>
      </c>
      <c r="AP55" s="27">
        <v>24</v>
      </c>
      <c r="AQ55" s="28">
        <v>15</v>
      </c>
      <c r="AR55" s="31" t="s">
        <v>42</v>
      </c>
    </row>
    <row r="56" spans="1:44" ht="14.45" customHeight="1" x14ac:dyDescent="0.25">
      <c r="A56" s="15" t="s">
        <v>126</v>
      </c>
      <c r="B56" s="16" t="s">
        <v>126</v>
      </c>
      <c r="C56" s="17" t="s">
        <v>127</v>
      </c>
      <c r="D56" s="18" t="s">
        <v>35</v>
      </c>
      <c r="E56" s="19" t="s">
        <v>36</v>
      </c>
      <c r="F56" s="20" t="s">
        <v>37</v>
      </c>
      <c r="G56" s="21">
        <v>6376</v>
      </c>
      <c r="H56" s="22">
        <f t="shared" si="0"/>
        <v>424</v>
      </c>
      <c r="I56" s="22">
        <f t="shared" si="25"/>
        <v>6800</v>
      </c>
      <c r="J56" s="23">
        <v>11752</v>
      </c>
      <c r="K56" s="24">
        <f t="shared" si="3"/>
        <v>848</v>
      </c>
      <c r="L56" s="156">
        <f t="shared" si="26"/>
        <v>12600</v>
      </c>
      <c r="M56" s="23">
        <f t="shared" si="21"/>
        <v>11752</v>
      </c>
      <c r="N56" s="24">
        <f t="shared" si="22"/>
        <v>848</v>
      </c>
      <c r="O56" s="24">
        <f t="shared" si="27"/>
        <v>12600</v>
      </c>
      <c r="P56" s="25">
        <f t="shared" si="10"/>
        <v>4336</v>
      </c>
      <c r="Q56" s="32">
        <f t="shared" si="23"/>
        <v>424</v>
      </c>
      <c r="R56" s="25">
        <f t="shared" si="11"/>
        <v>4760</v>
      </c>
      <c r="S56" s="26">
        <f t="shared" si="28"/>
        <v>7972</v>
      </c>
      <c r="T56" s="26">
        <f t="shared" si="24"/>
        <v>848</v>
      </c>
      <c r="U56" s="34">
        <f t="shared" si="29"/>
        <v>8820</v>
      </c>
      <c r="V56" s="200" t="s">
        <v>38</v>
      </c>
      <c r="W56" s="201"/>
      <c r="X56" s="201"/>
      <c r="Y56" s="201"/>
      <c r="Z56" s="201"/>
      <c r="AA56" s="201"/>
      <c r="AB56" s="202"/>
      <c r="AD56" s="27">
        <v>36</v>
      </c>
      <c r="AE56" s="28">
        <v>42</v>
      </c>
      <c r="AF56" s="29">
        <v>48</v>
      </c>
      <c r="AG56" s="28">
        <v>55</v>
      </c>
      <c r="AH56" s="27">
        <v>25</v>
      </c>
      <c r="AI56" s="30" t="s">
        <v>128</v>
      </c>
      <c r="AK56" s="27">
        <v>39</v>
      </c>
      <c r="AL56" s="28">
        <v>42</v>
      </c>
      <c r="AM56" s="27">
        <v>27</v>
      </c>
      <c r="AN56" s="30" t="s">
        <v>34</v>
      </c>
      <c r="AP56" s="27">
        <v>34</v>
      </c>
      <c r="AQ56" s="28">
        <v>25</v>
      </c>
      <c r="AR56" s="31" t="s">
        <v>129</v>
      </c>
    </row>
    <row r="57" spans="1:44" ht="14.45" customHeight="1" x14ac:dyDescent="0.25">
      <c r="A57" s="15" t="s">
        <v>130</v>
      </c>
      <c r="B57" s="16" t="s">
        <v>131</v>
      </c>
      <c r="C57" s="17" t="s">
        <v>132</v>
      </c>
      <c r="D57" s="18" t="s">
        <v>35</v>
      </c>
      <c r="E57" s="19" t="s">
        <v>36</v>
      </c>
      <c r="F57" s="20" t="s">
        <v>37</v>
      </c>
      <c r="G57" s="21">
        <v>3576</v>
      </c>
      <c r="H57" s="22">
        <f t="shared" si="0"/>
        <v>424</v>
      </c>
      <c r="I57" s="22">
        <f t="shared" si="25"/>
        <v>4000</v>
      </c>
      <c r="J57" s="23">
        <v>6152</v>
      </c>
      <c r="K57" s="24">
        <f t="shared" si="3"/>
        <v>848</v>
      </c>
      <c r="L57" s="156">
        <f t="shared" si="26"/>
        <v>7000</v>
      </c>
      <c r="M57" s="23">
        <f t="shared" si="21"/>
        <v>6152</v>
      </c>
      <c r="N57" s="24">
        <f t="shared" si="22"/>
        <v>848</v>
      </c>
      <c r="O57" s="24">
        <f t="shared" si="27"/>
        <v>7000</v>
      </c>
      <c r="P57" s="25">
        <f t="shared" si="10"/>
        <v>2376</v>
      </c>
      <c r="Q57" s="32">
        <f t="shared" si="23"/>
        <v>424</v>
      </c>
      <c r="R57" s="25">
        <f t="shared" si="11"/>
        <v>2800</v>
      </c>
      <c r="S57" s="26">
        <f t="shared" si="28"/>
        <v>4052</v>
      </c>
      <c r="T57" s="26">
        <f t="shared" si="24"/>
        <v>848</v>
      </c>
      <c r="U57" s="34">
        <f t="shared" si="29"/>
        <v>4900</v>
      </c>
      <c r="V57" s="200" t="s">
        <v>38</v>
      </c>
      <c r="W57" s="201"/>
      <c r="X57" s="201"/>
      <c r="Y57" s="201"/>
      <c r="Z57" s="201"/>
      <c r="AA57" s="201"/>
      <c r="AB57" s="202"/>
      <c r="AD57" s="27">
        <v>25</v>
      </c>
      <c r="AE57" s="28">
        <v>31</v>
      </c>
      <c r="AF57" s="29">
        <v>37</v>
      </c>
      <c r="AG57" s="28">
        <v>44</v>
      </c>
      <c r="AH57" s="27">
        <v>14</v>
      </c>
      <c r="AI57" s="30" t="s">
        <v>34</v>
      </c>
      <c r="AK57" s="27">
        <v>28</v>
      </c>
      <c r="AL57" s="28">
        <v>31</v>
      </c>
      <c r="AM57" s="27">
        <v>16</v>
      </c>
      <c r="AN57" s="30" t="s">
        <v>34</v>
      </c>
      <c r="AP57" s="27">
        <v>24</v>
      </c>
      <c r="AQ57" s="28">
        <v>16</v>
      </c>
      <c r="AR57" s="31" t="s">
        <v>34</v>
      </c>
    </row>
    <row r="58" spans="1:44" ht="14.45" customHeight="1" x14ac:dyDescent="0.25">
      <c r="A58" s="15" t="s">
        <v>133</v>
      </c>
      <c r="B58" s="16" t="s">
        <v>134</v>
      </c>
      <c r="C58" s="17" t="s">
        <v>135</v>
      </c>
      <c r="D58" s="18" t="s">
        <v>35</v>
      </c>
      <c r="E58" s="19" t="s">
        <v>36</v>
      </c>
      <c r="F58" s="20" t="s">
        <v>37</v>
      </c>
      <c r="G58" s="21">
        <v>6376</v>
      </c>
      <c r="H58" s="22">
        <f t="shared" si="0"/>
        <v>424</v>
      </c>
      <c r="I58" s="22">
        <f t="shared" si="25"/>
        <v>6800</v>
      </c>
      <c r="J58" s="23">
        <v>11752</v>
      </c>
      <c r="K58" s="24">
        <f t="shared" si="3"/>
        <v>848</v>
      </c>
      <c r="L58" s="156">
        <f t="shared" si="26"/>
        <v>12600</v>
      </c>
      <c r="M58" s="23">
        <f t="shared" si="21"/>
        <v>11752</v>
      </c>
      <c r="N58" s="24">
        <f t="shared" si="22"/>
        <v>848</v>
      </c>
      <c r="O58" s="24">
        <f t="shared" si="27"/>
        <v>12600</v>
      </c>
      <c r="P58" s="25">
        <f t="shared" si="10"/>
        <v>4336</v>
      </c>
      <c r="Q58" s="32">
        <f t="shared" si="23"/>
        <v>424</v>
      </c>
      <c r="R58" s="25">
        <f t="shared" si="11"/>
        <v>4760</v>
      </c>
      <c r="S58" s="26">
        <f t="shared" si="28"/>
        <v>7972</v>
      </c>
      <c r="T58" s="26">
        <f t="shared" si="24"/>
        <v>848</v>
      </c>
      <c r="U58" s="34">
        <f t="shared" si="29"/>
        <v>8820</v>
      </c>
      <c r="V58" s="200" t="s">
        <v>38</v>
      </c>
      <c r="W58" s="201"/>
      <c r="X58" s="201"/>
      <c r="Y58" s="201"/>
      <c r="Z58" s="201"/>
      <c r="AA58" s="201"/>
      <c r="AB58" s="202"/>
      <c r="AD58" s="27">
        <v>30</v>
      </c>
      <c r="AE58" s="28">
        <v>35</v>
      </c>
      <c r="AF58" s="29">
        <v>42</v>
      </c>
      <c r="AG58" s="28">
        <v>49</v>
      </c>
      <c r="AH58" s="27">
        <v>19</v>
      </c>
      <c r="AI58" s="30" t="s">
        <v>34</v>
      </c>
      <c r="AK58" s="27">
        <v>65</v>
      </c>
      <c r="AL58" s="28">
        <v>68</v>
      </c>
      <c r="AM58" s="27">
        <v>21</v>
      </c>
      <c r="AN58" s="30" t="s">
        <v>129</v>
      </c>
      <c r="AP58" s="27">
        <v>28</v>
      </c>
      <c r="AQ58" s="28">
        <v>21</v>
      </c>
      <c r="AR58" s="31" t="s">
        <v>34</v>
      </c>
    </row>
    <row r="59" spans="1:44" ht="14.45" customHeight="1" x14ac:dyDescent="0.25">
      <c r="A59" s="15" t="s">
        <v>136</v>
      </c>
      <c r="B59" s="16" t="s">
        <v>137</v>
      </c>
      <c r="C59" s="17" t="s">
        <v>138</v>
      </c>
      <c r="D59" s="18" t="s">
        <v>35</v>
      </c>
      <c r="E59" s="19" t="s">
        <v>36</v>
      </c>
      <c r="F59" s="20" t="s">
        <v>37</v>
      </c>
      <c r="G59" s="21">
        <v>6376</v>
      </c>
      <c r="H59" s="22">
        <f t="shared" si="0"/>
        <v>424</v>
      </c>
      <c r="I59" s="22">
        <f t="shared" si="25"/>
        <v>6800</v>
      </c>
      <c r="J59" s="23">
        <v>11752</v>
      </c>
      <c r="K59" s="24">
        <f t="shared" si="3"/>
        <v>848</v>
      </c>
      <c r="L59" s="156">
        <f t="shared" si="26"/>
        <v>12600</v>
      </c>
      <c r="M59" s="23">
        <f t="shared" si="21"/>
        <v>11752</v>
      </c>
      <c r="N59" s="24">
        <f t="shared" si="22"/>
        <v>848</v>
      </c>
      <c r="O59" s="24">
        <f t="shared" si="27"/>
        <v>12600</v>
      </c>
      <c r="P59" s="25">
        <f t="shared" si="10"/>
        <v>4336</v>
      </c>
      <c r="Q59" s="32">
        <f t="shared" si="23"/>
        <v>424</v>
      </c>
      <c r="R59" s="25">
        <f t="shared" si="11"/>
        <v>4760</v>
      </c>
      <c r="S59" s="26">
        <f t="shared" si="28"/>
        <v>7972</v>
      </c>
      <c r="T59" s="26">
        <f t="shared" si="24"/>
        <v>848</v>
      </c>
      <c r="U59" s="34">
        <f t="shared" si="29"/>
        <v>8820</v>
      </c>
      <c r="V59" s="200" t="s">
        <v>38</v>
      </c>
      <c r="W59" s="201"/>
      <c r="X59" s="201"/>
      <c r="Y59" s="201"/>
      <c r="Z59" s="201"/>
      <c r="AA59" s="201"/>
      <c r="AB59" s="202"/>
      <c r="AD59" s="27">
        <v>37</v>
      </c>
      <c r="AE59" s="28">
        <v>43</v>
      </c>
      <c r="AF59" s="29">
        <v>49</v>
      </c>
      <c r="AG59" s="28">
        <v>57</v>
      </c>
      <c r="AH59" s="27">
        <v>20</v>
      </c>
      <c r="AI59" s="30" t="s">
        <v>139</v>
      </c>
      <c r="AK59" s="27">
        <v>41</v>
      </c>
      <c r="AL59" s="28">
        <v>43</v>
      </c>
      <c r="AM59" s="27">
        <v>28</v>
      </c>
      <c r="AN59" s="30" t="s">
        <v>139</v>
      </c>
      <c r="AP59" s="27">
        <v>29</v>
      </c>
      <c r="AQ59" s="28">
        <v>20</v>
      </c>
      <c r="AR59" s="31" t="s">
        <v>139</v>
      </c>
    </row>
    <row r="60" spans="1:44" ht="14.45" customHeight="1" x14ac:dyDescent="0.25">
      <c r="A60" s="15" t="s">
        <v>136</v>
      </c>
      <c r="B60" s="16" t="s">
        <v>140</v>
      </c>
      <c r="C60" s="17" t="s">
        <v>141</v>
      </c>
      <c r="D60" s="18" t="s">
        <v>35</v>
      </c>
      <c r="E60" s="19" t="s">
        <v>36</v>
      </c>
      <c r="F60" s="20" t="s">
        <v>37</v>
      </c>
      <c r="G60" s="21">
        <v>6376</v>
      </c>
      <c r="H60" s="22">
        <f t="shared" si="0"/>
        <v>424</v>
      </c>
      <c r="I60" s="22">
        <f t="shared" si="25"/>
        <v>6800</v>
      </c>
      <c r="J60" s="23">
        <v>11752</v>
      </c>
      <c r="K60" s="24">
        <f t="shared" si="3"/>
        <v>848</v>
      </c>
      <c r="L60" s="156">
        <f t="shared" si="26"/>
        <v>12600</v>
      </c>
      <c r="M60" s="23">
        <f t="shared" si="21"/>
        <v>11752</v>
      </c>
      <c r="N60" s="24">
        <f t="shared" si="22"/>
        <v>848</v>
      </c>
      <c r="O60" s="24">
        <f t="shared" si="27"/>
        <v>12600</v>
      </c>
      <c r="P60" s="25">
        <f t="shared" si="10"/>
        <v>4336</v>
      </c>
      <c r="Q60" s="32">
        <f t="shared" si="23"/>
        <v>424</v>
      </c>
      <c r="R60" s="25">
        <f t="shared" si="11"/>
        <v>4760</v>
      </c>
      <c r="S60" s="26">
        <f t="shared" si="28"/>
        <v>7972</v>
      </c>
      <c r="T60" s="26">
        <f t="shared" si="24"/>
        <v>848</v>
      </c>
      <c r="U60" s="34">
        <f t="shared" si="29"/>
        <v>8820</v>
      </c>
      <c r="V60" s="200" t="s">
        <v>38</v>
      </c>
      <c r="W60" s="201"/>
      <c r="X60" s="201"/>
      <c r="Y60" s="201"/>
      <c r="Z60" s="201"/>
      <c r="AA60" s="201"/>
      <c r="AB60" s="202"/>
      <c r="AD60" s="27">
        <v>40</v>
      </c>
      <c r="AE60" s="28">
        <v>46</v>
      </c>
      <c r="AF60" s="29">
        <v>52</v>
      </c>
      <c r="AG60" s="28">
        <v>59</v>
      </c>
      <c r="AH60" s="27">
        <v>29</v>
      </c>
      <c r="AI60" s="30" t="s">
        <v>139</v>
      </c>
      <c r="AK60" s="27">
        <v>27</v>
      </c>
      <c r="AL60" s="28">
        <v>30</v>
      </c>
      <c r="AM60" s="27">
        <v>14</v>
      </c>
      <c r="AN60" s="30" t="s">
        <v>139</v>
      </c>
      <c r="AP60" s="27">
        <v>31</v>
      </c>
      <c r="AQ60" s="28">
        <v>23</v>
      </c>
      <c r="AR60" s="31" t="s">
        <v>139</v>
      </c>
    </row>
    <row r="61" spans="1:44" ht="14.45" customHeight="1" x14ac:dyDescent="0.25">
      <c r="A61" s="15" t="s">
        <v>142</v>
      </c>
      <c r="B61" s="16" t="s">
        <v>143</v>
      </c>
      <c r="C61" s="17" t="s">
        <v>144</v>
      </c>
      <c r="D61" s="18" t="s">
        <v>35</v>
      </c>
      <c r="E61" s="19" t="s">
        <v>36</v>
      </c>
      <c r="F61" s="20" t="s">
        <v>37</v>
      </c>
      <c r="G61" s="21">
        <v>5101</v>
      </c>
      <c r="H61" s="22">
        <f t="shared" si="0"/>
        <v>424</v>
      </c>
      <c r="I61" s="22">
        <f t="shared" si="25"/>
        <v>5525</v>
      </c>
      <c r="J61" s="23">
        <v>9202</v>
      </c>
      <c r="K61" s="24">
        <f t="shared" si="3"/>
        <v>848</v>
      </c>
      <c r="L61" s="156">
        <f t="shared" si="26"/>
        <v>10050</v>
      </c>
      <c r="M61" s="23">
        <f t="shared" si="21"/>
        <v>9202</v>
      </c>
      <c r="N61" s="24">
        <f t="shared" si="22"/>
        <v>848</v>
      </c>
      <c r="O61" s="24">
        <f t="shared" si="27"/>
        <v>10050</v>
      </c>
      <c r="P61" s="25">
        <f t="shared" si="10"/>
        <v>3443.4999999999995</v>
      </c>
      <c r="Q61" s="32">
        <f t="shared" si="23"/>
        <v>424</v>
      </c>
      <c r="R61" s="25">
        <f t="shared" si="11"/>
        <v>3867.4999999999995</v>
      </c>
      <c r="S61" s="26">
        <f t="shared" si="28"/>
        <v>6187</v>
      </c>
      <c r="T61" s="26">
        <f t="shared" si="24"/>
        <v>848</v>
      </c>
      <c r="U61" s="34">
        <f t="shared" si="29"/>
        <v>7035</v>
      </c>
      <c r="V61" s="200" t="s">
        <v>38</v>
      </c>
      <c r="W61" s="201"/>
      <c r="X61" s="201"/>
      <c r="Y61" s="201"/>
      <c r="Z61" s="201"/>
      <c r="AA61" s="201"/>
      <c r="AB61" s="202"/>
      <c r="AD61" s="27">
        <v>34</v>
      </c>
      <c r="AE61" s="28">
        <v>40</v>
      </c>
      <c r="AF61" s="29">
        <v>46</v>
      </c>
      <c r="AG61" s="28">
        <v>53</v>
      </c>
      <c r="AH61" s="27">
        <v>21</v>
      </c>
      <c r="AI61" s="30" t="s">
        <v>34</v>
      </c>
      <c r="AK61" s="27">
        <v>38</v>
      </c>
      <c r="AL61" s="28">
        <v>41</v>
      </c>
      <c r="AM61" s="27">
        <v>25</v>
      </c>
      <c r="AN61" s="30" t="s">
        <v>42</v>
      </c>
      <c r="AP61" s="27">
        <v>24</v>
      </c>
      <c r="AQ61" s="28">
        <v>17</v>
      </c>
      <c r="AR61" s="31" t="s">
        <v>34</v>
      </c>
    </row>
    <row r="62" spans="1:44" ht="14.45" customHeight="1" thickBot="1" x14ac:dyDescent="0.3">
      <c r="A62" s="37"/>
      <c r="B62" s="38"/>
      <c r="C62" s="39"/>
      <c r="D62" s="38"/>
      <c r="E62" s="40"/>
      <c r="F62" s="41"/>
      <c r="G62" s="42"/>
      <c r="H62" s="42"/>
      <c r="I62" s="65"/>
      <c r="J62" s="42"/>
      <c r="K62" s="42"/>
      <c r="L62" s="65"/>
      <c r="M62" s="42"/>
      <c r="N62" s="42"/>
      <c r="O62" s="65"/>
      <c r="P62" s="42"/>
      <c r="Q62" s="42"/>
      <c r="R62" s="43"/>
      <c r="S62" s="42"/>
      <c r="T62" s="42"/>
      <c r="U62" s="43"/>
      <c r="V62" s="205"/>
      <c r="W62" s="206"/>
      <c r="X62" s="206"/>
      <c r="Y62" s="206"/>
      <c r="Z62" s="206"/>
      <c r="AA62" s="206"/>
      <c r="AB62" s="207"/>
      <c r="AD62" s="44"/>
      <c r="AE62" s="45"/>
      <c r="AF62" s="46"/>
      <c r="AG62" s="45"/>
      <c r="AH62" s="44"/>
      <c r="AI62" s="47"/>
      <c r="AK62" s="44"/>
      <c r="AL62" s="45"/>
      <c r="AM62" s="44"/>
      <c r="AN62" s="47"/>
      <c r="AP62" s="44"/>
      <c r="AQ62" s="45"/>
      <c r="AR62" s="48"/>
    </row>
    <row r="63" spans="1:44" x14ac:dyDescent="0.25">
      <c r="C63" s="4"/>
      <c r="AD63" s="2" t="s">
        <v>145</v>
      </c>
    </row>
    <row r="65" spans="1:19" x14ac:dyDescent="0.25">
      <c r="A65" s="3" t="s">
        <v>146</v>
      </c>
      <c r="B65" s="3"/>
      <c r="C65" s="1"/>
    </row>
    <row r="66" spans="1:19" ht="15.75" thickBot="1" x14ac:dyDescent="0.3">
      <c r="C66" s="1"/>
    </row>
    <row r="67" spans="1:19" ht="15.75" thickBot="1" x14ac:dyDescent="0.3">
      <c r="A67" s="182" t="s">
        <v>10</v>
      </c>
      <c r="B67" s="182" t="s">
        <v>11</v>
      </c>
      <c r="C67" s="49"/>
      <c r="D67" s="182" t="s">
        <v>13</v>
      </c>
      <c r="E67" s="182" t="s">
        <v>14</v>
      </c>
      <c r="F67" s="182" t="s">
        <v>15</v>
      </c>
      <c r="G67" s="50"/>
      <c r="H67" s="50"/>
      <c r="I67" s="66"/>
      <c r="J67" s="50"/>
      <c r="K67" s="50"/>
      <c r="L67" s="66"/>
      <c r="M67" s="52" t="s">
        <v>17</v>
      </c>
      <c r="N67" s="53"/>
      <c r="O67" s="53"/>
      <c r="P67" s="53"/>
      <c r="Q67" s="53"/>
      <c r="R67" s="53"/>
      <c r="S67" s="54"/>
    </row>
    <row r="68" spans="1:19" ht="15.75" thickBot="1" x14ac:dyDescent="0.3">
      <c r="A68" s="183"/>
      <c r="B68" s="183"/>
      <c r="C68" s="55"/>
      <c r="D68" s="183"/>
      <c r="E68" s="183"/>
      <c r="F68" s="183"/>
      <c r="G68" s="11" t="s">
        <v>23</v>
      </c>
      <c r="H68" s="11" t="s">
        <v>24</v>
      </c>
      <c r="I68" s="12" t="s">
        <v>147</v>
      </c>
      <c r="J68" s="11" t="s">
        <v>23</v>
      </c>
      <c r="K68" s="11" t="s">
        <v>24</v>
      </c>
      <c r="L68" s="12" t="s">
        <v>148</v>
      </c>
      <c r="M68" s="56"/>
      <c r="N68" s="50"/>
      <c r="O68" s="50"/>
      <c r="P68" s="50"/>
      <c r="Q68" s="50"/>
      <c r="R68" s="50"/>
      <c r="S68" s="51"/>
    </row>
    <row r="69" spans="1:19" ht="15" customHeight="1" x14ac:dyDescent="0.25">
      <c r="A69" s="15" t="s">
        <v>33</v>
      </c>
      <c r="B69" s="15" t="s">
        <v>33</v>
      </c>
      <c r="C69" s="17" t="s">
        <v>34</v>
      </c>
      <c r="D69" s="18" t="s">
        <v>35</v>
      </c>
      <c r="E69" s="19" t="s">
        <v>36</v>
      </c>
      <c r="F69" s="20" t="s">
        <v>37</v>
      </c>
      <c r="G69" s="21">
        <f>(I69-H69)</f>
        <v>1417</v>
      </c>
      <c r="H69" s="22">
        <f>$C$14</f>
        <v>508</v>
      </c>
      <c r="I69" s="22">
        <f>I18+225</f>
        <v>1925</v>
      </c>
      <c r="J69" s="23">
        <f t="shared" ref="J69:J76" si="30">G69*2</f>
        <v>2834</v>
      </c>
      <c r="K69" s="58">
        <f>$D$14</f>
        <v>1016</v>
      </c>
      <c r="L69" s="24">
        <f>J69+K69</f>
        <v>3850</v>
      </c>
      <c r="M69" s="208" t="s">
        <v>38</v>
      </c>
      <c r="N69" s="209"/>
      <c r="O69" s="209"/>
      <c r="P69" s="209"/>
      <c r="Q69" s="209"/>
      <c r="R69" s="209"/>
      <c r="S69" s="210"/>
    </row>
    <row r="70" spans="1:19" ht="15" customHeight="1" x14ac:dyDescent="0.25">
      <c r="A70" s="15" t="s">
        <v>149</v>
      </c>
      <c r="B70" s="15" t="s">
        <v>41</v>
      </c>
      <c r="C70" s="17" t="s">
        <v>42</v>
      </c>
      <c r="D70" s="18" t="s">
        <v>35</v>
      </c>
      <c r="E70" s="19" t="s">
        <v>36</v>
      </c>
      <c r="F70" s="20" t="s">
        <v>37</v>
      </c>
      <c r="G70" s="21">
        <f t="shared" ref="G70:G81" si="31">(I70-H70)</f>
        <v>1417</v>
      </c>
      <c r="H70" s="22">
        <f t="shared" ref="H70:H81" si="32">$C$14</f>
        <v>508</v>
      </c>
      <c r="I70" s="22">
        <f>I19+225</f>
        <v>1925</v>
      </c>
      <c r="J70" s="23">
        <f t="shared" si="30"/>
        <v>2834</v>
      </c>
      <c r="K70" s="58">
        <f t="shared" ref="K70:K81" si="33">$D$14</f>
        <v>1016</v>
      </c>
      <c r="L70" s="24">
        <f t="shared" ref="L70:L81" si="34">J70+K70</f>
        <v>3850</v>
      </c>
      <c r="M70" s="208" t="s">
        <v>38</v>
      </c>
      <c r="N70" s="209"/>
      <c r="O70" s="209"/>
      <c r="P70" s="209"/>
      <c r="Q70" s="209"/>
      <c r="R70" s="209"/>
      <c r="S70" s="210"/>
    </row>
    <row r="71" spans="1:19" ht="15" customHeight="1" x14ac:dyDescent="0.25">
      <c r="A71" s="15" t="s">
        <v>149</v>
      </c>
      <c r="B71" s="15" t="s">
        <v>43</v>
      </c>
      <c r="C71" s="17" t="s">
        <v>44</v>
      </c>
      <c r="D71" s="18" t="s">
        <v>35</v>
      </c>
      <c r="E71" s="19" t="s">
        <v>36</v>
      </c>
      <c r="F71" s="20" t="s">
        <v>37</v>
      </c>
      <c r="G71" s="21">
        <f t="shared" si="31"/>
        <v>1417</v>
      </c>
      <c r="H71" s="22">
        <f t="shared" si="32"/>
        <v>508</v>
      </c>
      <c r="I71" s="22">
        <f>I20+225</f>
        <v>1925</v>
      </c>
      <c r="J71" s="23">
        <f t="shared" si="30"/>
        <v>2834</v>
      </c>
      <c r="K71" s="58">
        <f t="shared" si="33"/>
        <v>1016</v>
      </c>
      <c r="L71" s="24">
        <f t="shared" si="34"/>
        <v>3850</v>
      </c>
      <c r="M71" s="208" t="s">
        <v>38</v>
      </c>
      <c r="N71" s="209"/>
      <c r="O71" s="209"/>
      <c r="P71" s="209"/>
      <c r="Q71" s="209"/>
      <c r="R71" s="209"/>
      <c r="S71" s="210"/>
    </row>
    <row r="72" spans="1:19" ht="15" customHeight="1" x14ac:dyDescent="0.25">
      <c r="A72" s="59" t="s">
        <v>150</v>
      </c>
      <c r="B72" s="59" t="s">
        <v>50</v>
      </c>
      <c r="C72" s="17" t="s">
        <v>51</v>
      </c>
      <c r="D72" s="18" t="s">
        <v>35</v>
      </c>
      <c r="E72" s="19" t="s">
        <v>36</v>
      </c>
      <c r="F72" s="57" t="s">
        <v>37</v>
      </c>
      <c r="G72" s="21">
        <f t="shared" si="31"/>
        <v>1692</v>
      </c>
      <c r="H72" s="22">
        <f t="shared" si="32"/>
        <v>508</v>
      </c>
      <c r="I72" s="22">
        <f>I23+500</f>
        <v>2200</v>
      </c>
      <c r="J72" s="23">
        <f t="shared" si="30"/>
        <v>3384</v>
      </c>
      <c r="K72" s="58">
        <f t="shared" si="33"/>
        <v>1016</v>
      </c>
      <c r="L72" s="24">
        <f t="shared" si="34"/>
        <v>4400</v>
      </c>
      <c r="M72" s="208" t="s">
        <v>38</v>
      </c>
      <c r="N72" s="209"/>
      <c r="O72" s="209"/>
      <c r="P72" s="209"/>
      <c r="Q72" s="209"/>
      <c r="R72" s="209"/>
      <c r="S72" s="210"/>
    </row>
    <row r="73" spans="1:19" ht="15" customHeight="1" x14ac:dyDescent="0.25">
      <c r="A73" s="15" t="s">
        <v>151</v>
      </c>
      <c r="B73" s="15" t="s">
        <v>59</v>
      </c>
      <c r="C73" s="17" t="s">
        <v>60</v>
      </c>
      <c r="D73" s="18" t="s">
        <v>35</v>
      </c>
      <c r="E73" s="19" t="s">
        <v>36</v>
      </c>
      <c r="F73" s="20" t="s">
        <v>37</v>
      </c>
      <c r="G73" s="21">
        <f t="shared" si="31"/>
        <v>1692</v>
      </c>
      <c r="H73" s="22">
        <f t="shared" si="32"/>
        <v>508</v>
      </c>
      <c r="I73" s="22">
        <f>I27+500</f>
        <v>2200</v>
      </c>
      <c r="J73" s="23">
        <f t="shared" si="30"/>
        <v>3384</v>
      </c>
      <c r="K73" s="58">
        <f t="shared" si="33"/>
        <v>1016</v>
      </c>
      <c r="L73" s="24">
        <f t="shared" si="34"/>
        <v>4400</v>
      </c>
      <c r="M73" s="208" t="s">
        <v>38</v>
      </c>
      <c r="N73" s="209"/>
      <c r="O73" s="209"/>
      <c r="P73" s="209"/>
      <c r="Q73" s="209"/>
      <c r="R73" s="209"/>
      <c r="S73" s="210"/>
    </row>
    <row r="74" spans="1:19" ht="15" customHeight="1" x14ac:dyDescent="0.25">
      <c r="A74" s="15" t="s">
        <v>151</v>
      </c>
      <c r="B74" s="15" t="s">
        <v>61</v>
      </c>
      <c r="C74" s="17" t="s">
        <v>62</v>
      </c>
      <c r="D74" s="18" t="s">
        <v>35</v>
      </c>
      <c r="E74" s="19" t="s">
        <v>36</v>
      </c>
      <c r="F74" s="20" t="s">
        <v>37</v>
      </c>
      <c r="G74" s="21">
        <f t="shared" si="31"/>
        <v>1792</v>
      </c>
      <c r="H74" s="22">
        <f t="shared" si="32"/>
        <v>508</v>
      </c>
      <c r="I74" s="22">
        <f>I28+500</f>
        <v>2300</v>
      </c>
      <c r="J74" s="23">
        <f t="shared" si="30"/>
        <v>3584</v>
      </c>
      <c r="K74" s="58">
        <f t="shared" si="33"/>
        <v>1016</v>
      </c>
      <c r="L74" s="24">
        <f t="shared" si="34"/>
        <v>4600</v>
      </c>
      <c r="M74" s="208" t="s">
        <v>38</v>
      </c>
      <c r="N74" s="209"/>
      <c r="O74" s="209"/>
      <c r="P74" s="209"/>
      <c r="Q74" s="209"/>
      <c r="R74" s="209"/>
      <c r="S74" s="210"/>
    </row>
    <row r="75" spans="1:19" ht="15" customHeight="1" x14ac:dyDescent="0.25">
      <c r="A75" s="15" t="s">
        <v>151</v>
      </c>
      <c r="B75" s="15" t="s">
        <v>152</v>
      </c>
      <c r="C75" s="17"/>
      <c r="D75" s="18" t="s">
        <v>35</v>
      </c>
      <c r="E75" s="19" t="s">
        <v>36</v>
      </c>
      <c r="F75" s="20" t="s">
        <v>37</v>
      </c>
      <c r="G75" s="21">
        <f t="shared" si="31"/>
        <v>1792</v>
      </c>
      <c r="H75" s="22">
        <f t="shared" si="32"/>
        <v>508</v>
      </c>
      <c r="I75" s="22">
        <f>I29+500</f>
        <v>2300</v>
      </c>
      <c r="J75" s="23">
        <f t="shared" si="30"/>
        <v>3584</v>
      </c>
      <c r="K75" s="58">
        <f t="shared" si="33"/>
        <v>1016</v>
      </c>
      <c r="L75" s="24">
        <f t="shared" si="34"/>
        <v>4600</v>
      </c>
      <c r="M75" s="208" t="s">
        <v>38</v>
      </c>
      <c r="N75" s="209"/>
      <c r="O75" s="209"/>
      <c r="P75" s="209"/>
      <c r="Q75" s="209"/>
      <c r="R75" s="209"/>
      <c r="S75" s="210"/>
    </row>
    <row r="76" spans="1:19" ht="15" customHeight="1" x14ac:dyDescent="0.25">
      <c r="A76" s="15" t="s">
        <v>153</v>
      </c>
      <c r="B76" s="15" t="s">
        <v>154</v>
      </c>
      <c r="C76" s="17" t="s">
        <v>66</v>
      </c>
      <c r="D76" s="18" t="s">
        <v>35</v>
      </c>
      <c r="E76" s="19" t="s">
        <v>36</v>
      </c>
      <c r="F76" s="20" t="s">
        <v>37</v>
      </c>
      <c r="G76" s="21">
        <f t="shared" si="31"/>
        <v>1692</v>
      </c>
      <c r="H76" s="22">
        <f t="shared" si="32"/>
        <v>508</v>
      </c>
      <c r="I76" s="22">
        <f>I30+500</f>
        <v>2200</v>
      </c>
      <c r="J76" s="23">
        <f t="shared" si="30"/>
        <v>3384</v>
      </c>
      <c r="K76" s="58">
        <f t="shared" si="33"/>
        <v>1016</v>
      </c>
      <c r="L76" s="24">
        <f t="shared" si="34"/>
        <v>4400</v>
      </c>
      <c r="M76" s="208" t="s">
        <v>38</v>
      </c>
      <c r="N76" s="209"/>
      <c r="O76" s="209"/>
      <c r="P76" s="209"/>
      <c r="Q76" s="209"/>
      <c r="R76" s="209"/>
      <c r="S76" s="210"/>
    </row>
    <row r="77" spans="1:19" ht="15" customHeight="1" x14ac:dyDescent="0.25">
      <c r="A77" s="15"/>
      <c r="B77" s="15"/>
      <c r="C77" s="17"/>
      <c r="D77" s="18"/>
      <c r="E77" s="19"/>
      <c r="F77" s="20"/>
      <c r="G77" s="23"/>
      <c r="H77" s="23"/>
      <c r="I77" s="23"/>
      <c r="J77" s="23"/>
      <c r="K77" s="23"/>
      <c r="L77" s="24"/>
      <c r="M77" s="208"/>
      <c r="N77" s="209"/>
      <c r="O77" s="209"/>
      <c r="P77" s="209"/>
      <c r="Q77" s="209"/>
      <c r="R77" s="209"/>
      <c r="S77" s="210"/>
    </row>
    <row r="78" spans="1:19" ht="15" customHeight="1" x14ac:dyDescent="0.25">
      <c r="A78" s="60" t="s">
        <v>155</v>
      </c>
      <c r="B78" s="60" t="s">
        <v>83</v>
      </c>
      <c r="C78" s="17" t="s">
        <v>84</v>
      </c>
      <c r="D78" s="18" t="s">
        <v>35</v>
      </c>
      <c r="E78" s="19" t="s">
        <v>36</v>
      </c>
      <c r="F78" s="20" t="s">
        <v>37</v>
      </c>
      <c r="G78" s="21">
        <f t="shared" si="31"/>
        <v>1892</v>
      </c>
      <c r="H78" s="22">
        <f t="shared" si="32"/>
        <v>508</v>
      </c>
      <c r="I78" s="22">
        <f>I38+500</f>
        <v>2400</v>
      </c>
      <c r="J78" s="23">
        <f>G78*2</f>
        <v>3784</v>
      </c>
      <c r="K78" s="58">
        <f t="shared" si="33"/>
        <v>1016</v>
      </c>
      <c r="L78" s="24">
        <f t="shared" si="34"/>
        <v>4800</v>
      </c>
      <c r="M78" s="208" t="s">
        <v>38</v>
      </c>
      <c r="N78" s="209"/>
      <c r="O78" s="209"/>
      <c r="P78" s="209"/>
      <c r="Q78" s="209"/>
      <c r="R78" s="209"/>
      <c r="S78" s="210"/>
    </row>
    <row r="79" spans="1:19" ht="15" customHeight="1" x14ac:dyDescent="0.25">
      <c r="A79" s="60" t="s">
        <v>155</v>
      </c>
      <c r="B79" s="61" t="s">
        <v>85</v>
      </c>
      <c r="C79" s="17" t="s">
        <v>86</v>
      </c>
      <c r="D79" s="18" t="s">
        <v>35</v>
      </c>
      <c r="E79" s="19" t="s">
        <v>36</v>
      </c>
      <c r="F79" s="20" t="s">
        <v>37</v>
      </c>
      <c r="G79" s="21">
        <f t="shared" si="31"/>
        <v>1892</v>
      </c>
      <c r="H79" s="22">
        <f t="shared" si="32"/>
        <v>508</v>
      </c>
      <c r="I79" s="22">
        <f t="shared" ref="I79:I80" si="35">I39+500</f>
        <v>2400</v>
      </c>
      <c r="J79" s="23">
        <f>G79*2</f>
        <v>3784</v>
      </c>
      <c r="K79" s="58">
        <f t="shared" si="33"/>
        <v>1016</v>
      </c>
      <c r="L79" s="24">
        <f t="shared" si="34"/>
        <v>4800</v>
      </c>
      <c r="M79" s="208" t="s">
        <v>38</v>
      </c>
      <c r="N79" s="209"/>
      <c r="O79" s="209"/>
      <c r="P79" s="209"/>
      <c r="Q79" s="209"/>
      <c r="R79" s="209"/>
      <c r="S79" s="210"/>
    </row>
    <row r="80" spans="1:19" ht="15" customHeight="1" x14ac:dyDescent="0.25">
      <c r="A80" s="60" t="s">
        <v>155</v>
      </c>
      <c r="B80" s="60" t="s">
        <v>87</v>
      </c>
      <c r="C80" s="17" t="s">
        <v>88</v>
      </c>
      <c r="D80" s="18" t="s">
        <v>35</v>
      </c>
      <c r="E80" s="19" t="s">
        <v>36</v>
      </c>
      <c r="F80" s="20" t="s">
        <v>37</v>
      </c>
      <c r="G80" s="21">
        <f t="shared" si="31"/>
        <v>1892</v>
      </c>
      <c r="H80" s="22">
        <f t="shared" si="32"/>
        <v>508</v>
      </c>
      <c r="I80" s="22">
        <f t="shared" si="35"/>
        <v>2400</v>
      </c>
      <c r="J80" s="23">
        <f>G80*2</f>
        <v>3784</v>
      </c>
      <c r="K80" s="58">
        <f t="shared" si="33"/>
        <v>1016</v>
      </c>
      <c r="L80" s="24">
        <f t="shared" si="34"/>
        <v>4800</v>
      </c>
      <c r="M80" s="208" t="s">
        <v>38</v>
      </c>
      <c r="N80" s="209"/>
      <c r="O80" s="209"/>
      <c r="P80" s="209"/>
      <c r="Q80" s="209"/>
      <c r="R80" s="209"/>
      <c r="S80" s="210"/>
    </row>
    <row r="81" spans="1:19" ht="15" customHeight="1" x14ac:dyDescent="0.25">
      <c r="A81" s="60" t="s">
        <v>155</v>
      </c>
      <c r="B81" s="60" t="s">
        <v>92</v>
      </c>
      <c r="C81" s="17" t="s">
        <v>93</v>
      </c>
      <c r="D81" s="18" t="s">
        <v>35</v>
      </c>
      <c r="E81" s="19" t="s">
        <v>36</v>
      </c>
      <c r="F81" s="20" t="s">
        <v>37</v>
      </c>
      <c r="G81" s="21">
        <f t="shared" si="31"/>
        <v>1892</v>
      </c>
      <c r="H81" s="22">
        <f t="shared" si="32"/>
        <v>508</v>
      </c>
      <c r="I81" s="22">
        <f>I42+500</f>
        <v>2400</v>
      </c>
      <c r="J81" s="23">
        <f>G81*2</f>
        <v>3784</v>
      </c>
      <c r="K81" s="58">
        <f t="shared" si="33"/>
        <v>1016</v>
      </c>
      <c r="L81" s="24">
        <f t="shared" si="34"/>
        <v>4800</v>
      </c>
      <c r="M81" s="208" t="s">
        <v>38</v>
      </c>
      <c r="N81" s="209"/>
      <c r="O81" s="209"/>
      <c r="P81" s="209"/>
      <c r="Q81" s="209"/>
      <c r="R81" s="209"/>
      <c r="S81" s="210"/>
    </row>
    <row r="82" spans="1:19" ht="15" customHeight="1" thickBot="1" x14ac:dyDescent="0.3">
      <c r="A82" s="37"/>
      <c r="B82" s="38"/>
      <c r="C82" s="62"/>
      <c r="D82" s="38"/>
      <c r="E82" s="40"/>
      <c r="F82" s="41"/>
      <c r="G82" s="42"/>
      <c r="H82" s="42"/>
      <c r="I82" s="65"/>
      <c r="J82" s="63"/>
      <c r="K82" s="63"/>
      <c r="L82" s="67"/>
      <c r="M82" s="211"/>
      <c r="N82" s="212"/>
      <c r="O82" s="212"/>
      <c r="P82" s="212"/>
      <c r="Q82" s="212"/>
      <c r="R82" s="212"/>
      <c r="S82" s="213"/>
    </row>
    <row r="85" spans="1:19" x14ac:dyDescent="0.25">
      <c r="G85" s="1"/>
      <c r="H85" s="1"/>
      <c r="I85" s="1"/>
      <c r="J85" s="1"/>
    </row>
    <row r="86" spans="1:19" x14ac:dyDescent="0.25">
      <c r="G86" s="1"/>
      <c r="H86" s="1"/>
      <c r="I86" s="1"/>
      <c r="J86" s="1"/>
    </row>
    <row r="87" spans="1:19" x14ac:dyDescent="0.25">
      <c r="G87" s="1"/>
      <c r="H87" s="1"/>
      <c r="I87" s="1"/>
      <c r="J87" s="1"/>
    </row>
    <row r="88" spans="1:19" x14ac:dyDescent="0.25">
      <c r="I88" s="1"/>
      <c r="J88" s="1"/>
    </row>
    <row r="89" spans="1:19" x14ac:dyDescent="0.25">
      <c r="I89" s="1"/>
      <c r="J89" s="1"/>
    </row>
    <row r="90" spans="1:19" x14ac:dyDescent="0.25">
      <c r="I90" s="1"/>
      <c r="J90" s="1"/>
    </row>
    <row r="91" spans="1:19" x14ac:dyDescent="0.25">
      <c r="I91" s="1"/>
      <c r="J91" s="1"/>
    </row>
    <row r="92" spans="1:19" x14ac:dyDescent="0.25">
      <c r="I92" s="1"/>
      <c r="J92" s="1"/>
    </row>
    <row r="93" spans="1:19" x14ac:dyDescent="0.25">
      <c r="I93" s="1"/>
      <c r="J93" s="1"/>
    </row>
    <row r="94" spans="1:19" x14ac:dyDescent="0.25">
      <c r="I94" s="1"/>
      <c r="J94" s="1"/>
    </row>
    <row r="95" spans="1:19" x14ac:dyDescent="0.25">
      <c r="I95" s="1"/>
      <c r="J95" s="1"/>
    </row>
    <row r="96" spans="1:19" x14ac:dyDescent="0.25">
      <c r="I96" s="1"/>
      <c r="J96" s="1"/>
    </row>
    <row r="97" spans="9:10" x14ac:dyDescent="0.25">
      <c r="I97" s="1"/>
      <c r="J97" s="1"/>
    </row>
    <row r="98" spans="9:10" x14ac:dyDescent="0.25">
      <c r="I98" s="1"/>
      <c r="J98" s="1"/>
    </row>
    <row r="99" spans="9:10" x14ac:dyDescent="0.25">
      <c r="I99" s="1"/>
      <c r="J99" s="1"/>
    </row>
    <row r="100" spans="9:10" x14ac:dyDescent="0.25">
      <c r="I100" s="1"/>
      <c r="J100" s="1"/>
    </row>
    <row r="101" spans="9:10" x14ac:dyDescent="0.25">
      <c r="I101" s="1"/>
      <c r="J101" s="1"/>
    </row>
    <row r="102" spans="9:10" x14ac:dyDescent="0.25">
      <c r="I102" s="1"/>
      <c r="J102" s="1"/>
    </row>
    <row r="103" spans="9:10" x14ac:dyDescent="0.25">
      <c r="I103" s="1"/>
      <c r="J103" s="1"/>
    </row>
    <row r="104" spans="9:10" x14ac:dyDescent="0.25">
      <c r="I104" s="1"/>
      <c r="J104" s="1"/>
    </row>
    <row r="105" spans="9:10" x14ac:dyDescent="0.25">
      <c r="I105" s="1"/>
      <c r="J105" s="1"/>
    </row>
    <row r="106" spans="9:10" x14ac:dyDescent="0.25">
      <c r="I106" s="1"/>
      <c r="J106" s="1"/>
    </row>
    <row r="107" spans="9:10" x14ac:dyDescent="0.25">
      <c r="I107" s="1"/>
      <c r="J107" s="1"/>
    </row>
    <row r="108" spans="9:10" x14ac:dyDescent="0.25">
      <c r="I108" s="1"/>
      <c r="J108" s="1"/>
    </row>
    <row r="109" spans="9:10" x14ac:dyDescent="0.25">
      <c r="I109" s="1"/>
      <c r="J109" s="1"/>
    </row>
    <row r="110" spans="9:10" x14ac:dyDescent="0.25">
      <c r="I110" s="1"/>
      <c r="J110" s="1"/>
    </row>
    <row r="111" spans="9:10" x14ac:dyDescent="0.25">
      <c r="I111" s="1"/>
      <c r="J111" s="1"/>
    </row>
    <row r="112" spans="9:10" x14ac:dyDescent="0.25">
      <c r="I112" s="1"/>
      <c r="J112" s="1"/>
    </row>
    <row r="113" spans="9:10" x14ac:dyDescent="0.25">
      <c r="I113" s="1"/>
      <c r="J113" s="1"/>
    </row>
    <row r="114" spans="9:10" x14ac:dyDescent="0.25">
      <c r="I114" s="1"/>
      <c r="J114" s="1"/>
    </row>
    <row r="115" spans="9:10" x14ac:dyDescent="0.25">
      <c r="I115" s="1"/>
      <c r="J115" s="1"/>
    </row>
    <row r="116" spans="9:10" x14ac:dyDescent="0.25">
      <c r="I116" s="1"/>
      <c r="J116" s="1"/>
    </row>
    <row r="117" spans="9:10" x14ac:dyDescent="0.25">
      <c r="I117" s="1"/>
      <c r="J117" s="1"/>
    </row>
    <row r="118" spans="9:10" x14ac:dyDescent="0.25">
      <c r="I118" s="1"/>
      <c r="J118" s="1"/>
    </row>
    <row r="119" spans="9:10" x14ac:dyDescent="0.25">
      <c r="I119" s="1"/>
      <c r="J119" s="1"/>
    </row>
    <row r="120" spans="9:10" x14ac:dyDescent="0.25">
      <c r="I120" s="1"/>
      <c r="J120" s="1"/>
    </row>
    <row r="121" spans="9:10" x14ac:dyDescent="0.25">
      <c r="I121" s="1"/>
      <c r="J121" s="1"/>
    </row>
    <row r="122" spans="9:10" x14ac:dyDescent="0.25">
      <c r="I122" s="1"/>
      <c r="J122" s="1"/>
    </row>
    <row r="123" spans="9:10" x14ac:dyDescent="0.25">
      <c r="I123" s="1"/>
      <c r="J123" s="1"/>
    </row>
    <row r="124" spans="9:10" x14ac:dyDescent="0.25">
      <c r="I124" s="1"/>
      <c r="J124" s="1"/>
    </row>
    <row r="125" spans="9:10" x14ac:dyDescent="0.25">
      <c r="I125" s="1"/>
      <c r="J125" s="1"/>
    </row>
    <row r="126" spans="9:10" x14ac:dyDescent="0.25">
      <c r="I126" s="1"/>
      <c r="J126" s="1"/>
    </row>
    <row r="127" spans="9:10" x14ac:dyDescent="0.25">
      <c r="I127" s="1"/>
      <c r="J127" s="1"/>
    </row>
    <row r="128" spans="9:10" x14ac:dyDescent="0.25">
      <c r="I128" s="1"/>
      <c r="J128" s="1"/>
    </row>
    <row r="129" spans="9:10" x14ac:dyDescent="0.25">
      <c r="I129" s="1"/>
      <c r="J129" s="1"/>
    </row>
    <row r="130" spans="9:10" x14ac:dyDescent="0.25">
      <c r="I130" s="1"/>
      <c r="J130" s="1"/>
    </row>
    <row r="131" spans="9:10" x14ac:dyDescent="0.25">
      <c r="I131" s="1"/>
      <c r="J131" s="1"/>
    </row>
  </sheetData>
  <autoFilter ref="A16:AB36" xr:uid="{33A16E7F-BFAC-4674-A20C-AB4928C947BF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</autoFilter>
  <mergeCells count="88">
    <mergeCell ref="M82:S82"/>
    <mergeCell ref="M76:S76"/>
    <mergeCell ref="M77:S77"/>
    <mergeCell ref="M78:S78"/>
    <mergeCell ref="M79:S79"/>
    <mergeCell ref="M80:S80"/>
    <mergeCell ref="M81:S81"/>
    <mergeCell ref="M75:S75"/>
    <mergeCell ref="A67:A68"/>
    <mergeCell ref="B67:B68"/>
    <mergeCell ref="D67:D68"/>
    <mergeCell ref="E67:E68"/>
    <mergeCell ref="F67:F68"/>
    <mergeCell ref="M69:S69"/>
    <mergeCell ref="M70:S70"/>
    <mergeCell ref="M71:S71"/>
    <mergeCell ref="M72:S72"/>
    <mergeCell ref="M73:S73"/>
    <mergeCell ref="M74:S74"/>
    <mergeCell ref="V39:AB39"/>
    <mergeCell ref="V28:AB28"/>
    <mergeCell ref="V29:AB29"/>
    <mergeCell ref="V62:AB62"/>
    <mergeCell ref="V51:AB51"/>
    <mergeCell ref="V52:AB52"/>
    <mergeCell ref="V53:AB53"/>
    <mergeCell ref="V54:AB54"/>
    <mergeCell ref="V55:AB55"/>
    <mergeCell ref="V56:AB56"/>
    <mergeCell ref="V57:AB57"/>
    <mergeCell ref="V58:AB58"/>
    <mergeCell ref="V59:AB59"/>
    <mergeCell ref="V60:AB60"/>
    <mergeCell ref="V61:AB61"/>
    <mergeCell ref="V40:AB40"/>
    <mergeCell ref="V41:AB41"/>
    <mergeCell ref="V42:AB42"/>
    <mergeCell ref="V43:AB43"/>
    <mergeCell ref="V44:AB44"/>
    <mergeCell ref="V45:AB45"/>
    <mergeCell ref="V46:AB46"/>
    <mergeCell ref="V47:AB47"/>
    <mergeCell ref="V48:AB48"/>
    <mergeCell ref="V49:AB49"/>
    <mergeCell ref="V50:AB50"/>
    <mergeCell ref="V38:AB38"/>
    <mergeCell ref="V25:AB25"/>
    <mergeCell ref="V30:AB30"/>
    <mergeCell ref="V31:AB31"/>
    <mergeCell ref="V32:AB32"/>
    <mergeCell ref="V33:AB33"/>
    <mergeCell ref="V34:AB34"/>
    <mergeCell ref="V27:AB27"/>
    <mergeCell ref="V26:AB26"/>
    <mergeCell ref="AQ16:AQ17"/>
    <mergeCell ref="V35:AB35"/>
    <mergeCell ref="V36:AB36"/>
    <mergeCell ref="V37:AB37"/>
    <mergeCell ref="AR16:AR17"/>
    <mergeCell ref="V22:AB22"/>
    <mergeCell ref="V23:AB23"/>
    <mergeCell ref="V24:AB24"/>
    <mergeCell ref="V21:AB21"/>
    <mergeCell ref="V18:AB18"/>
    <mergeCell ref="V19:AB19"/>
    <mergeCell ref="V20:AB20"/>
    <mergeCell ref="AM16:AM17"/>
    <mergeCell ref="AN16:AN17"/>
    <mergeCell ref="AH16:AH17"/>
    <mergeCell ref="AI16:AI17"/>
    <mergeCell ref="AK16:AL16"/>
    <mergeCell ref="A8:AF8"/>
    <mergeCell ref="B13:B14"/>
    <mergeCell ref="A16:A17"/>
    <mergeCell ref="B16:B17"/>
    <mergeCell ref="C16:C17"/>
    <mergeCell ref="D16:D17"/>
    <mergeCell ref="E16:E17"/>
    <mergeCell ref="F16:F17"/>
    <mergeCell ref="G16:U16"/>
    <mergeCell ref="V16:AB17"/>
    <mergeCell ref="AD16:AG16"/>
    <mergeCell ref="A7:AF7"/>
    <mergeCell ref="A1:A4"/>
    <mergeCell ref="B1:AR3"/>
    <mergeCell ref="B4:AR4"/>
    <mergeCell ref="A5:AF5"/>
    <mergeCell ref="A6:AF6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3319-2675-41E7-8597-98CE624C5E51}">
  <sheetPr>
    <tabColor theme="8" tint="0.59999389629810485"/>
    <pageSetUpPr fitToPage="1"/>
  </sheetPr>
  <dimension ref="A2:AK51"/>
  <sheetViews>
    <sheetView zoomScale="80" zoomScaleNormal="80" workbookViewId="0">
      <selection activeCell="N24" sqref="N24"/>
    </sheetView>
  </sheetViews>
  <sheetFormatPr defaultColWidth="9.28515625" defaultRowHeight="15" x14ac:dyDescent="0.25"/>
  <cols>
    <col min="2" max="2" width="48.7109375" customWidth="1"/>
    <col min="15" max="15" width="11.7109375" customWidth="1"/>
    <col min="16" max="16" width="13.7109375" customWidth="1"/>
    <col min="17" max="19" width="2.5703125" customWidth="1"/>
    <col min="20" max="20" width="23.28515625" customWidth="1"/>
    <col min="22" max="22" width="14.5703125" customWidth="1"/>
    <col min="23" max="23" width="10.42578125" bestFit="1" customWidth="1"/>
    <col min="37" max="37" width="43.28515625" customWidth="1"/>
  </cols>
  <sheetData>
    <row r="2" spans="1:37" ht="15.75" thickBot="1" x14ac:dyDescent="0.3"/>
    <row r="3" spans="1:37" ht="29.25" thickBot="1" x14ac:dyDescent="0.5">
      <c r="B3" s="218" t="s">
        <v>156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20"/>
      <c r="R3" s="220"/>
      <c r="S3" s="221"/>
      <c r="T3" s="222" t="s">
        <v>157</v>
      </c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4"/>
    </row>
    <row r="4" spans="1:37" ht="24" thickBot="1" x14ac:dyDescent="0.4">
      <c r="A4" s="68"/>
      <c r="B4" s="69" t="s">
        <v>158</v>
      </c>
      <c r="C4" s="225" t="s">
        <v>159</v>
      </c>
      <c r="D4" s="226"/>
      <c r="E4" s="226"/>
      <c r="F4" s="226"/>
      <c r="G4" s="226"/>
      <c r="H4" s="226"/>
      <c r="I4" s="226"/>
      <c r="J4" s="226"/>
      <c r="K4" s="226"/>
      <c r="L4" s="227"/>
      <c r="M4" s="70" t="s">
        <v>15</v>
      </c>
      <c r="N4" s="70"/>
      <c r="O4" s="71" t="s">
        <v>160</v>
      </c>
      <c r="P4" s="71" t="s">
        <v>161</v>
      </c>
      <c r="Q4" s="72"/>
      <c r="R4" s="73"/>
      <c r="S4" s="74"/>
      <c r="T4" s="75" t="s">
        <v>162</v>
      </c>
      <c r="U4" s="75"/>
      <c r="V4" s="75"/>
      <c r="W4" s="76" t="s">
        <v>163</v>
      </c>
      <c r="X4" s="155" t="s">
        <v>164</v>
      </c>
      <c r="Y4" s="77"/>
      <c r="Z4" s="77"/>
      <c r="AA4" s="77"/>
      <c r="AB4" s="77"/>
      <c r="AC4" s="77"/>
      <c r="AD4" s="77"/>
      <c r="AE4" s="77"/>
      <c r="AF4" s="78"/>
      <c r="AG4" s="79"/>
      <c r="AH4" s="79"/>
      <c r="AI4" s="79"/>
      <c r="AJ4" s="79"/>
      <c r="AK4" s="80"/>
    </row>
    <row r="5" spans="1:37" ht="23.25" x14ac:dyDescent="0.25">
      <c r="B5" s="228" t="s">
        <v>165</v>
      </c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Q5" s="81"/>
      <c r="R5" s="81"/>
      <c r="S5" s="82"/>
      <c r="T5" s="231" t="s">
        <v>166</v>
      </c>
      <c r="U5" s="231"/>
      <c r="V5" s="232"/>
      <c r="W5" s="83" t="s">
        <v>167</v>
      </c>
      <c r="X5" s="84" t="s">
        <v>168</v>
      </c>
      <c r="Y5" s="85"/>
      <c r="Z5" s="79"/>
      <c r="AA5" s="79"/>
      <c r="AB5" s="79"/>
      <c r="AC5" s="79"/>
      <c r="AD5" s="79"/>
      <c r="AE5" s="79"/>
      <c r="AF5" s="80"/>
      <c r="AG5" s="79"/>
      <c r="AH5" s="79"/>
      <c r="AI5" s="79"/>
      <c r="AJ5" s="79"/>
      <c r="AK5" s="80"/>
    </row>
    <row r="6" spans="1:37" ht="21" x14ac:dyDescent="0.35">
      <c r="B6" s="86" t="s">
        <v>169</v>
      </c>
      <c r="C6" s="214" t="s">
        <v>170</v>
      </c>
      <c r="D6" s="214"/>
      <c r="E6" s="214"/>
      <c r="F6" s="214"/>
      <c r="G6" s="214"/>
      <c r="H6" s="214"/>
      <c r="I6" s="214"/>
      <c r="J6" s="214"/>
      <c r="K6" s="214"/>
      <c r="L6" s="214"/>
      <c r="M6" s="215" t="s">
        <v>171</v>
      </c>
      <c r="N6" s="215"/>
      <c r="O6" s="87">
        <v>14</v>
      </c>
      <c r="P6" s="88">
        <v>14</v>
      </c>
      <c r="Q6" s="79"/>
      <c r="R6" s="79"/>
      <c r="S6" s="80"/>
      <c r="T6" s="216" t="s">
        <v>172</v>
      </c>
      <c r="U6" s="216"/>
      <c r="V6" s="217"/>
      <c r="W6" s="89" t="s">
        <v>167</v>
      </c>
      <c r="X6" s="90" t="s">
        <v>168</v>
      </c>
      <c r="Y6" s="91"/>
      <c r="Z6" s="79"/>
      <c r="AA6" s="79"/>
      <c r="AB6" s="79"/>
      <c r="AC6" s="79"/>
      <c r="AD6" s="79"/>
      <c r="AE6" s="79"/>
      <c r="AF6" s="80"/>
      <c r="AG6" s="79"/>
      <c r="AH6" s="79"/>
      <c r="AI6" s="79"/>
      <c r="AJ6" s="79"/>
      <c r="AK6" s="80"/>
    </row>
    <row r="7" spans="1:37" ht="21.75" thickBot="1" x14ac:dyDescent="0.4">
      <c r="B7" s="86" t="s">
        <v>173</v>
      </c>
      <c r="C7" s="214" t="s">
        <v>174</v>
      </c>
      <c r="D7" s="214"/>
      <c r="E7" s="214"/>
      <c r="F7" s="214"/>
      <c r="G7" s="214"/>
      <c r="H7" s="214"/>
      <c r="I7" s="214"/>
      <c r="J7" s="214"/>
      <c r="K7" s="214"/>
      <c r="L7" s="214"/>
      <c r="M7" s="215" t="s">
        <v>37</v>
      </c>
      <c r="N7" s="215"/>
      <c r="O7" s="87">
        <v>200</v>
      </c>
      <c r="P7" s="88">
        <v>400</v>
      </c>
      <c r="Q7" s="79"/>
      <c r="R7" s="79"/>
      <c r="S7" s="80"/>
      <c r="T7" s="92" t="s">
        <v>175</v>
      </c>
      <c r="U7" s="93"/>
      <c r="V7" s="93"/>
      <c r="W7" s="94"/>
      <c r="X7" s="95"/>
      <c r="Y7" s="85"/>
      <c r="Z7" s="79"/>
      <c r="AA7" s="79"/>
      <c r="AB7" s="79"/>
      <c r="AC7" s="79"/>
      <c r="AD7" s="79"/>
      <c r="AE7" s="79"/>
      <c r="AF7" s="80"/>
      <c r="AG7" s="79"/>
      <c r="AH7" s="79"/>
      <c r="AI7" s="79"/>
      <c r="AJ7" s="79"/>
      <c r="AK7" s="80"/>
    </row>
    <row r="8" spans="1:37" ht="21.75" thickBot="1" x14ac:dyDescent="0.4">
      <c r="B8" s="86" t="s">
        <v>176</v>
      </c>
      <c r="C8" s="214" t="s">
        <v>177</v>
      </c>
      <c r="D8" s="214"/>
      <c r="E8" s="214"/>
      <c r="F8" s="214"/>
      <c r="G8" s="214"/>
      <c r="H8" s="214"/>
      <c r="I8" s="214"/>
      <c r="J8" s="214"/>
      <c r="K8" s="214"/>
      <c r="L8" s="214"/>
      <c r="M8" s="215" t="s">
        <v>171</v>
      </c>
      <c r="N8" s="215"/>
      <c r="O8" s="87">
        <v>400</v>
      </c>
      <c r="P8" s="88">
        <v>800</v>
      </c>
      <c r="Q8" s="79"/>
      <c r="R8" s="79"/>
      <c r="S8" s="80"/>
      <c r="T8" s="96" t="s">
        <v>178</v>
      </c>
      <c r="U8" s="96"/>
      <c r="V8" s="81"/>
      <c r="W8" s="96" t="s">
        <v>179</v>
      </c>
      <c r="X8" s="97"/>
      <c r="Y8" s="98"/>
      <c r="Z8" s="99"/>
      <c r="AA8" s="99"/>
      <c r="AB8" s="99"/>
      <c r="AC8" s="99"/>
      <c r="AD8" s="99"/>
      <c r="AE8" s="99"/>
      <c r="AF8" s="100"/>
      <c r="AG8" s="79"/>
      <c r="AH8" s="79"/>
      <c r="AI8" s="79"/>
      <c r="AJ8" s="79"/>
      <c r="AK8" s="80"/>
    </row>
    <row r="9" spans="1:37" ht="21" x14ac:dyDescent="0.35">
      <c r="B9" s="86" t="s">
        <v>180</v>
      </c>
      <c r="C9" s="214" t="s">
        <v>181</v>
      </c>
      <c r="D9" s="214"/>
      <c r="E9" s="214"/>
      <c r="F9" s="214"/>
      <c r="G9" s="214"/>
      <c r="H9" s="214"/>
      <c r="I9" s="214"/>
      <c r="J9" s="214"/>
      <c r="K9" s="214"/>
      <c r="L9" s="214"/>
      <c r="M9" s="215" t="s">
        <v>37</v>
      </c>
      <c r="N9" s="215"/>
      <c r="O9" s="87">
        <v>225</v>
      </c>
      <c r="P9" s="88">
        <v>450</v>
      </c>
      <c r="Q9" s="79"/>
      <c r="R9" s="79"/>
      <c r="S9" s="80"/>
      <c r="T9" s="231" t="s">
        <v>166</v>
      </c>
      <c r="U9" s="231"/>
      <c r="V9" s="232"/>
      <c r="W9" s="101" t="s">
        <v>182</v>
      </c>
      <c r="X9" s="102"/>
      <c r="Y9" s="85"/>
      <c r="Z9" s="79"/>
      <c r="AA9" s="79"/>
      <c r="AB9" s="79"/>
      <c r="AC9" s="79"/>
      <c r="AD9" s="79"/>
      <c r="AE9" s="79"/>
      <c r="AF9" s="80"/>
      <c r="AG9" s="79"/>
      <c r="AH9" s="79"/>
      <c r="AI9" s="79"/>
      <c r="AJ9" s="79"/>
      <c r="AK9" s="80"/>
    </row>
    <row r="10" spans="1:37" ht="21" x14ac:dyDescent="0.35">
      <c r="B10" s="86" t="s">
        <v>183</v>
      </c>
      <c r="C10" s="214" t="s">
        <v>181</v>
      </c>
      <c r="D10" s="214"/>
      <c r="E10" s="214"/>
      <c r="F10" s="214"/>
      <c r="G10" s="214"/>
      <c r="H10" s="214"/>
      <c r="I10" s="214"/>
      <c r="J10" s="214"/>
      <c r="K10" s="214"/>
      <c r="L10" s="214"/>
      <c r="M10" s="215" t="s">
        <v>37</v>
      </c>
      <c r="N10" s="215"/>
      <c r="O10" s="87">
        <v>400</v>
      </c>
      <c r="P10" s="88">
        <v>800</v>
      </c>
      <c r="Q10" s="79"/>
      <c r="R10" s="79"/>
      <c r="S10" s="80"/>
      <c r="T10" s="216" t="s">
        <v>172</v>
      </c>
      <c r="U10" s="216"/>
      <c r="V10" s="217"/>
      <c r="W10" s="89" t="s">
        <v>168</v>
      </c>
      <c r="X10" s="103"/>
      <c r="Y10" s="85"/>
      <c r="Z10" s="79"/>
      <c r="AA10" s="79"/>
      <c r="AB10" s="79"/>
      <c r="AC10" s="79"/>
      <c r="AD10" s="79"/>
      <c r="AE10" s="79"/>
      <c r="AF10" s="80"/>
      <c r="AG10" s="79"/>
      <c r="AH10" s="79"/>
      <c r="AI10" s="79"/>
      <c r="AJ10" s="79"/>
      <c r="AK10" s="80"/>
    </row>
    <row r="11" spans="1:37" ht="21.75" thickBot="1" x14ac:dyDescent="0.4">
      <c r="B11" s="86" t="s">
        <v>184</v>
      </c>
      <c r="C11" s="214" t="s">
        <v>185</v>
      </c>
      <c r="D11" s="214"/>
      <c r="E11" s="214"/>
      <c r="F11" s="214"/>
      <c r="G11" s="214"/>
      <c r="H11" s="214"/>
      <c r="I11" s="214"/>
      <c r="J11" s="214"/>
      <c r="K11" s="214"/>
      <c r="L11" s="214"/>
      <c r="M11" s="215" t="s">
        <v>186</v>
      </c>
      <c r="N11" s="215"/>
      <c r="O11" s="87">
        <v>105</v>
      </c>
      <c r="P11" s="88">
        <v>105</v>
      </c>
      <c r="Q11" s="79"/>
      <c r="R11" s="79"/>
      <c r="S11" s="80"/>
      <c r="T11" s="104" t="s">
        <v>187</v>
      </c>
      <c r="U11" s="105"/>
      <c r="V11" s="105"/>
      <c r="W11" s="106"/>
      <c r="X11" s="107"/>
      <c r="Y11" s="106"/>
      <c r="Z11" s="108"/>
      <c r="AA11" s="108"/>
      <c r="AB11" s="108"/>
      <c r="AC11" s="108"/>
      <c r="AD11" s="108"/>
      <c r="AE11" s="108"/>
      <c r="AF11" s="109"/>
      <c r="AG11" s="79"/>
      <c r="AH11" s="79"/>
      <c r="AI11" s="79"/>
      <c r="AJ11" s="79"/>
      <c r="AK11" s="80"/>
    </row>
    <row r="12" spans="1:37" ht="21" x14ac:dyDescent="0.35">
      <c r="B12" s="110" t="s">
        <v>188</v>
      </c>
      <c r="C12" s="241" t="s">
        <v>189</v>
      </c>
      <c r="D12" s="242"/>
      <c r="E12" s="242"/>
      <c r="F12" s="242"/>
      <c r="G12" s="242"/>
      <c r="H12" s="242"/>
      <c r="I12" s="242"/>
      <c r="J12" s="242"/>
      <c r="K12" s="242"/>
      <c r="L12" s="243"/>
      <c r="M12" s="244" t="s">
        <v>186</v>
      </c>
      <c r="N12" s="245"/>
      <c r="O12" s="111">
        <v>22</v>
      </c>
      <c r="P12" s="112">
        <v>44</v>
      </c>
      <c r="Q12" s="113"/>
      <c r="R12" s="114"/>
      <c r="S12" s="80"/>
      <c r="T12" s="79"/>
      <c r="U12" s="79"/>
      <c r="V12" s="79"/>
      <c r="W12" s="79"/>
      <c r="X12" s="79"/>
      <c r="Y12" s="85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80"/>
    </row>
    <row r="13" spans="1:37" ht="21.75" thickBot="1" x14ac:dyDescent="0.4">
      <c r="B13" s="86" t="s">
        <v>190</v>
      </c>
      <c r="C13" s="115" t="s">
        <v>191</v>
      </c>
      <c r="D13" s="116"/>
      <c r="E13" s="116"/>
      <c r="F13" s="116"/>
      <c r="G13" s="116"/>
      <c r="H13" s="116"/>
      <c r="I13" s="116"/>
      <c r="J13" s="116"/>
      <c r="K13" s="116"/>
      <c r="L13" s="117"/>
      <c r="M13" s="118" t="s">
        <v>186</v>
      </c>
      <c r="N13" s="119"/>
      <c r="O13" s="120">
        <v>14</v>
      </c>
      <c r="P13" s="88">
        <v>14</v>
      </c>
      <c r="Q13" s="114"/>
      <c r="R13" s="114"/>
      <c r="S13" s="80"/>
      <c r="T13" s="79"/>
      <c r="U13" s="79"/>
      <c r="V13" s="79"/>
      <c r="W13" s="79"/>
      <c r="X13" s="79"/>
      <c r="Y13" s="85"/>
      <c r="Z13" s="85"/>
      <c r="AA13" s="91"/>
      <c r="AB13" s="91"/>
      <c r="AC13" s="91"/>
      <c r="AD13" s="91"/>
      <c r="AE13" s="91"/>
      <c r="AF13" s="79"/>
      <c r="AG13" s="79"/>
      <c r="AH13" s="79"/>
      <c r="AI13" s="79"/>
      <c r="AJ13" s="79"/>
      <c r="AK13" s="80"/>
    </row>
    <row r="14" spans="1:37" ht="24" thickBot="1" x14ac:dyDescent="0.4">
      <c r="B14" s="86" t="s">
        <v>192</v>
      </c>
      <c r="C14" s="115" t="s">
        <v>193</v>
      </c>
      <c r="D14" s="116"/>
      <c r="E14" s="116"/>
      <c r="F14" s="116"/>
      <c r="G14" s="116"/>
      <c r="H14" s="116"/>
      <c r="I14" s="116"/>
      <c r="J14" s="116"/>
      <c r="K14" s="116"/>
      <c r="L14" s="117"/>
      <c r="M14" s="118" t="s">
        <v>37</v>
      </c>
      <c r="N14" s="119"/>
      <c r="O14" s="120">
        <v>100</v>
      </c>
      <c r="P14" s="88">
        <v>100</v>
      </c>
      <c r="Q14" s="121"/>
      <c r="R14" s="79"/>
      <c r="S14" s="80"/>
      <c r="T14" s="223" t="s">
        <v>194</v>
      </c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3"/>
      <c r="AK14" s="224"/>
    </row>
    <row r="15" spans="1:37" ht="21.75" customHeight="1" thickBot="1" x14ac:dyDescent="0.45">
      <c r="B15" s="122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0"/>
      <c r="Q15" s="121"/>
      <c r="R15" s="79"/>
      <c r="S15" s="80"/>
      <c r="T15" s="246" t="s">
        <v>195</v>
      </c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  <c r="AF15" s="246"/>
      <c r="AG15" s="246"/>
      <c r="AH15" s="246"/>
      <c r="AI15" s="246"/>
      <c r="AJ15" s="246"/>
      <c r="AK15" s="247"/>
    </row>
    <row r="16" spans="1:37" ht="32.25" thickBot="1" x14ac:dyDescent="0.45">
      <c r="B16" s="122" t="s">
        <v>196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80"/>
      <c r="Q16" s="114"/>
      <c r="R16" s="79"/>
      <c r="S16" s="80"/>
      <c r="T16" s="248" t="s">
        <v>13</v>
      </c>
      <c r="U16" s="248"/>
      <c r="V16" s="249"/>
      <c r="W16" s="160" t="s">
        <v>197</v>
      </c>
      <c r="X16" s="161" t="s">
        <v>198</v>
      </c>
      <c r="Y16" s="161" t="s">
        <v>199</v>
      </c>
      <c r="Z16" s="161" t="s">
        <v>200</v>
      </c>
      <c r="AA16" s="161" t="s">
        <v>201</v>
      </c>
      <c r="AB16" s="161" t="s">
        <v>202</v>
      </c>
      <c r="AC16" s="161" t="s">
        <v>203</v>
      </c>
      <c r="AD16" s="161" t="s">
        <v>204</v>
      </c>
      <c r="AE16" s="162" t="s">
        <v>205</v>
      </c>
      <c r="AF16" s="163" t="s">
        <v>206</v>
      </c>
      <c r="AG16" s="79"/>
      <c r="AH16" s="79"/>
      <c r="AI16" s="79"/>
      <c r="AJ16" s="79"/>
      <c r="AK16" s="80"/>
    </row>
    <row r="17" spans="1:37" ht="21.75" customHeight="1" thickBot="1" x14ac:dyDescent="0.45">
      <c r="B17" s="122" t="s">
        <v>207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80"/>
      <c r="Q17" s="121"/>
      <c r="R17" s="79"/>
      <c r="S17" s="80"/>
      <c r="T17" s="250" t="s">
        <v>208</v>
      </c>
      <c r="U17" s="250"/>
      <c r="V17" s="251"/>
      <c r="W17" s="164">
        <v>1975</v>
      </c>
      <c r="X17" s="165">
        <v>2300</v>
      </c>
      <c r="Y17" s="164">
        <v>2250</v>
      </c>
      <c r="Z17" s="165">
        <v>2575</v>
      </c>
      <c r="AA17" s="164">
        <v>2250</v>
      </c>
      <c r="AB17" s="165">
        <v>2575</v>
      </c>
      <c r="AC17" s="166">
        <v>2075</v>
      </c>
      <c r="AD17" s="166">
        <v>2375</v>
      </c>
      <c r="AE17" s="167">
        <f>W17+200</f>
        <v>2175</v>
      </c>
      <c r="AF17" s="168">
        <f>Y17+400</f>
        <v>2650</v>
      </c>
      <c r="AG17" s="79"/>
      <c r="AH17" s="79"/>
      <c r="AI17" s="79"/>
      <c r="AJ17" s="79"/>
      <c r="AK17" s="80"/>
    </row>
    <row r="18" spans="1:37" ht="21.75" customHeight="1" thickBot="1" x14ac:dyDescent="0.45">
      <c r="A18" s="123"/>
      <c r="B18" s="122" t="s">
        <v>237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80"/>
      <c r="Q18" s="121"/>
      <c r="R18" s="79"/>
      <c r="S18" s="80"/>
      <c r="T18" s="233" t="s">
        <v>209</v>
      </c>
      <c r="U18" s="234"/>
      <c r="V18" s="235"/>
      <c r="W18" s="164">
        <v>2300</v>
      </c>
      <c r="X18" s="165">
        <v>2625</v>
      </c>
      <c r="Y18" s="164">
        <v>2575</v>
      </c>
      <c r="Z18" s="165">
        <v>2900</v>
      </c>
      <c r="AA18" s="164">
        <v>2575</v>
      </c>
      <c r="AB18" s="165">
        <v>2900</v>
      </c>
      <c r="AC18" s="166">
        <v>2425</v>
      </c>
      <c r="AD18" s="166">
        <v>2700</v>
      </c>
      <c r="AE18" s="168">
        <f>W18+200</f>
        <v>2500</v>
      </c>
      <c r="AF18" s="168">
        <f>Y18+400</f>
        <v>2975</v>
      </c>
      <c r="AG18" s="79"/>
      <c r="AH18" s="79"/>
      <c r="AI18" s="79"/>
      <c r="AJ18" s="79"/>
      <c r="AK18" s="80"/>
    </row>
    <row r="19" spans="1:37" ht="21.75" customHeight="1" thickBot="1" x14ac:dyDescent="0.3">
      <c r="B19" s="124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114"/>
      <c r="R19" s="79"/>
      <c r="S19" s="80"/>
      <c r="T19" s="236" t="s">
        <v>210</v>
      </c>
      <c r="U19" s="237"/>
      <c r="V19" s="238"/>
      <c r="W19" s="164">
        <v>2450</v>
      </c>
      <c r="X19" s="165">
        <v>2775</v>
      </c>
      <c r="Y19" s="164">
        <v>2925</v>
      </c>
      <c r="Z19" s="165">
        <v>3250</v>
      </c>
      <c r="AA19" s="164">
        <v>2925</v>
      </c>
      <c r="AB19" s="165">
        <v>3250</v>
      </c>
      <c r="AC19" s="166">
        <v>2575</v>
      </c>
      <c r="AD19" s="166">
        <v>3050</v>
      </c>
      <c r="AE19" s="168">
        <f>W19+200</f>
        <v>2650</v>
      </c>
      <c r="AF19" s="168">
        <f>Y19+400</f>
        <v>3325</v>
      </c>
      <c r="AG19" s="79"/>
      <c r="AH19" s="79"/>
      <c r="AI19" s="79"/>
      <c r="AJ19" s="79"/>
      <c r="AK19" s="80"/>
    </row>
    <row r="20" spans="1:37" ht="21" customHeight="1" x14ac:dyDescent="0.3">
      <c r="B20" s="124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80"/>
      <c r="Q20" s="114"/>
      <c r="R20" s="79"/>
      <c r="S20" s="80"/>
      <c r="T20" s="169" t="s">
        <v>211</v>
      </c>
      <c r="U20" s="170"/>
      <c r="V20" s="170"/>
      <c r="W20" s="125"/>
      <c r="X20" s="125"/>
      <c r="Y20" s="125"/>
      <c r="Z20" s="125"/>
      <c r="AA20" s="125"/>
      <c r="AB20" s="125"/>
      <c r="AC20" s="125"/>
      <c r="AD20" s="125"/>
      <c r="AE20" s="171"/>
      <c r="AF20" s="172"/>
      <c r="AG20" s="79"/>
      <c r="AH20" s="79"/>
      <c r="AI20" s="79"/>
      <c r="AJ20" s="79"/>
      <c r="AK20" s="80"/>
    </row>
    <row r="21" spans="1:37" ht="21.75" customHeight="1" thickBot="1" x14ac:dyDescent="0.35">
      <c r="B21" s="126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9"/>
      <c r="Q21" s="121"/>
      <c r="R21" s="79"/>
      <c r="S21" s="80"/>
      <c r="T21" s="127" t="s">
        <v>238</v>
      </c>
      <c r="U21" s="108"/>
      <c r="V21" s="108"/>
      <c r="W21" s="79"/>
      <c r="X21" s="79"/>
      <c r="Y21" s="79"/>
      <c r="Z21" s="79"/>
      <c r="AA21" s="79"/>
      <c r="AB21" s="79"/>
      <c r="AC21" s="79"/>
      <c r="AD21" s="79"/>
      <c r="AE21" s="128"/>
      <c r="AF21" s="80"/>
      <c r="AG21" s="79"/>
      <c r="AH21" s="79"/>
      <c r="AI21" s="79"/>
      <c r="AJ21" s="79"/>
      <c r="AK21" s="80"/>
    </row>
    <row r="22" spans="1:37" ht="42.6" customHeight="1" thickBot="1" x14ac:dyDescent="0.35">
      <c r="Q22" s="121"/>
      <c r="R22" s="79"/>
      <c r="S22" s="80"/>
      <c r="T22" s="239" t="s">
        <v>235</v>
      </c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129"/>
    </row>
    <row r="23" spans="1:37" ht="21" customHeight="1" x14ac:dyDescent="0.3">
      <c r="Q23" s="121"/>
      <c r="R23" s="79"/>
      <c r="S23" s="80"/>
      <c r="T23" s="130" t="s">
        <v>212</v>
      </c>
      <c r="U23" s="81"/>
      <c r="V23" s="81"/>
      <c r="W23" s="81"/>
      <c r="X23" s="81"/>
      <c r="Y23" s="81"/>
      <c r="Z23" s="81"/>
      <c r="AA23" s="97"/>
      <c r="AB23" s="131"/>
      <c r="AC23" s="132"/>
      <c r="AD23" s="132"/>
      <c r="AE23" s="81"/>
      <c r="AF23" s="81"/>
      <c r="AG23" s="81"/>
      <c r="AH23" s="81"/>
      <c r="AI23" s="81"/>
      <c r="AJ23" s="81"/>
      <c r="AK23" s="82"/>
    </row>
    <row r="24" spans="1:37" ht="21" customHeight="1" x14ac:dyDescent="0.25">
      <c r="Q24" s="114"/>
      <c r="R24" s="79"/>
      <c r="S24" s="80"/>
      <c r="T24" s="133" t="s">
        <v>213</v>
      </c>
      <c r="U24" s="79"/>
      <c r="V24" s="79"/>
      <c r="W24" s="79"/>
      <c r="X24" s="79"/>
      <c r="Y24" s="79"/>
      <c r="Z24" s="79"/>
      <c r="AA24" s="85"/>
      <c r="AB24" s="85"/>
      <c r="AC24" s="128"/>
      <c r="AD24" s="128"/>
      <c r="AE24" s="79"/>
      <c r="AF24" s="79"/>
      <c r="AG24" s="79"/>
      <c r="AH24" s="79"/>
      <c r="AI24" s="79"/>
      <c r="AJ24" s="79"/>
      <c r="AK24" s="80"/>
    </row>
    <row r="25" spans="1:37" ht="21" customHeight="1" x14ac:dyDescent="0.25">
      <c r="Q25" s="114"/>
      <c r="R25" s="79"/>
      <c r="S25" s="80"/>
      <c r="T25" s="133" t="s">
        <v>214</v>
      </c>
      <c r="U25" s="79"/>
      <c r="V25" s="79"/>
      <c r="W25" s="79"/>
      <c r="X25" s="79"/>
      <c r="Y25" s="79"/>
      <c r="Z25" s="79"/>
      <c r="AA25" s="85"/>
      <c r="AB25" s="85"/>
      <c r="AC25" s="128"/>
      <c r="AD25" s="128"/>
      <c r="AE25" s="79"/>
      <c r="AF25" s="79"/>
      <c r="AG25" s="79"/>
      <c r="AH25" s="79"/>
      <c r="AI25" s="79"/>
      <c r="AJ25" s="79"/>
      <c r="AK25" s="80"/>
    </row>
    <row r="26" spans="1:37" ht="21" customHeight="1" x14ac:dyDescent="0.25">
      <c r="Q26" s="114"/>
      <c r="R26" s="79"/>
      <c r="S26" s="80"/>
      <c r="T26" s="133" t="s">
        <v>215</v>
      </c>
      <c r="U26" s="79"/>
      <c r="V26" s="79"/>
      <c r="W26" s="79"/>
      <c r="X26" s="79"/>
      <c r="Y26" s="79"/>
      <c r="Z26" s="79"/>
      <c r="AA26" s="91"/>
      <c r="AB26" s="91"/>
      <c r="AC26" s="128"/>
      <c r="AD26" s="128"/>
      <c r="AE26" s="79"/>
      <c r="AF26" s="79"/>
      <c r="AG26" s="79"/>
      <c r="AH26" s="79"/>
      <c r="AI26" s="79"/>
      <c r="AJ26" s="79"/>
      <c r="AK26" s="80"/>
    </row>
    <row r="27" spans="1:37" ht="21" customHeight="1" x14ac:dyDescent="0.25">
      <c r="Q27" s="114"/>
      <c r="R27" s="79"/>
      <c r="S27" s="80"/>
      <c r="T27" s="133" t="s">
        <v>216</v>
      </c>
      <c r="U27" s="134"/>
      <c r="V27" s="134"/>
      <c r="W27" s="134"/>
      <c r="X27" s="134"/>
      <c r="Y27" s="128"/>
      <c r="Z27" s="128"/>
      <c r="AA27" s="128"/>
      <c r="AB27" s="128"/>
      <c r="AC27" s="128"/>
      <c r="AD27" s="128"/>
      <c r="AE27" s="79"/>
      <c r="AF27" s="79"/>
      <c r="AG27" s="79"/>
      <c r="AH27" s="79"/>
      <c r="AI27" s="79"/>
      <c r="AJ27" s="79"/>
      <c r="AK27" s="80"/>
    </row>
    <row r="28" spans="1:37" ht="21" customHeight="1" x14ac:dyDescent="0.25">
      <c r="Q28" s="114"/>
      <c r="R28" s="79"/>
      <c r="S28" s="80"/>
      <c r="T28" s="133" t="s">
        <v>217</v>
      </c>
      <c r="U28" s="133"/>
      <c r="V28" s="133"/>
      <c r="W28" s="133"/>
      <c r="X28" s="133"/>
      <c r="Y28" s="133"/>
      <c r="Z28" s="133"/>
      <c r="AA28" s="135"/>
      <c r="AB28" s="135"/>
      <c r="AC28" s="135"/>
      <c r="AD28" s="135"/>
      <c r="AE28" s="135"/>
      <c r="AF28" s="135"/>
      <c r="AG28" s="79"/>
      <c r="AH28" s="79"/>
      <c r="AI28" s="79"/>
      <c r="AJ28" s="79"/>
      <c r="AK28" s="80"/>
    </row>
    <row r="29" spans="1:37" ht="21" customHeight="1" x14ac:dyDescent="0.25">
      <c r="Q29" s="114"/>
      <c r="R29" s="79"/>
      <c r="S29" s="80"/>
      <c r="T29" s="133" t="s">
        <v>218</v>
      </c>
      <c r="U29" s="133"/>
      <c r="V29" s="133"/>
      <c r="W29" s="133"/>
      <c r="X29" s="133"/>
      <c r="Y29" s="133"/>
      <c r="Z29" s="133"/>
      <c r="AA29" s="135"/>
      <c r="AB29" s="135"/>
      <c r="AC29" s="135"/>
      <c r="AD29" s="135"/>
      <c r="AE29" s="135"/>
      <c r="AF29" s="135"/>
      <c r="AG29" s="79"/>
      <c r="AH29" s="79"/>
      <c r="AI29" s="79"/>
      <c r="AJ29" s="79"/>
      <c r="AK29" s="80"/>
    </row>
    <row r="30" spans="1:37" ht="21" customHeight="1" x14ac:dyDescent="0.25">
      <c r="A30" s="136"/>
      <c r="Q30" s="114"/>
      <c r="R30" s="79"/>
      <c r="S30" s="80"/>
      <c r="T30" s="133" t="s">
        <v>219</v>
      </c>
      <c r="U30" s="133"/>
      <c r="V30" s="133"/>
      <c r="W30" s="133"/>
      <c r="X30" s="133"/>
      <c r="Y30" s="133"/>
      <c r="Z30" s="133"/>
      <c r="AA30" s="135"/>
      <c r="AB30" s="135"/>
      <c r="AC30" s="135"/>
      <c r="AD30" s="135"/>
      <c r="AE30" s="135"/>
      <c r="AF30" s="135"/>
      <c r="AG30" s="79"/>
      <c r="AH30" s="79"/>
      <c r="AI30" s="79"/>
      <c r="AJ30" s="79"/>
      <c r="AK30" s="80"/>
    </row>
    <row r="31" spans="1:37" ht="21" customHeight="1" x14ac:dyDescent="0.25">
      <c r="A31" s="137"/>
      <c r="Q31" s="114"/>
      <c r="R31" s="79"/>
      <c r="S31" s="80"/>
      <c r="T31" s="133" t="s">
        <v>220</v>
      </c>
      <c r="U31" s="133"/>
      <c r="V31" s="133"/>
      <c r="W31" s="133"/>
      <c r="X31" s="133"/>
      <c r="Y31" s="133"/>
      <c r="Z31" s="133"/>
      <c r="AA31" s="135"/>
      <c r="AB31" s="135"/>
      <c r="AC31" s="135"/>
      <c r="AD31" s="135"/>
      <c r="AE31" s="135"/>
      <c r="AF31" s="135"/>
      <c r="AG31" s="79"/>
      <c r="AH31" s="79"/>
      <c r="AI31" s="79"/>
      <c r="AJ31" s="79"/>
      <c r="AK31" s="80"/>
    </row>
    <row r="32" spans="1:37" ht="21" customHeight="1" x14ac:dyDescent="0.25">
      <c r="A32" s="138"/>
      <c r="Q32" s="114"/>
      <c r="R32" s="79"/>
      <c r="S32" s="80"/>
      <c r="T32" s="139" t="s">
        <v>233</v>
      </c>
      <c r="U32" s="133"/>
      <c r="V32" s="133"/>
      <c r="W32" s="133"/>
      <c r="X32" s="133"/>
      <c r="Y32" s="133"/>
      <c r="Z32" s="133"/>
      <c r="AA32" s="135"/>
      <c r="AB32" s="135"/>
      <c r="AC32" s="135"/>
      <c r="AD32" s="135"/>
      <c r="AE32" s="135"/>
      <c r="AF32" s="135"/>
      <c r="AG32" s="79"/>
      <c r="AH32" s="79"/>
      <c r="AI32" s="79"/>
      <c r="AJ32" s="79"/>
      <c r="AK32" s="80"/>
    </row>
    <row r="33" spans="1:37" ht="21" customHeight="1" x14ac:dyDescent="0.25">
      <c r="A33" s="140"/>
      <c r="Q33" s="114"/>
      <c r="R33" s="79"/>
      <c r="S33" s="80"/>
      <c r="T33" s="139" t="s">
        <v>234</v>
      </c>
      <c r="U33" s="133"/>
      <c r="V33" s="133"/>
      <c r="W33" s="133"/>
      <c r="X33" s="133"/>
      <c r="Y33" s="133"/>
      <c r="Z33" s="133"/>
      <c r="AA33" s="135"/>
      <c r="AB33" s="135"/>
      <c r="AC33" s="135"/>
      <c r="AD33" s="135"/>
      <c r="AE33" s="135"/>
      <c r="AF33" s="135"/>
      <c r="AG33" s="79"/>
      <c r="AH33" s="79"/>
      <c r="AI33" s="79"/>
      <c r="AJ33" s="79"/>
      <c r="AK33" s="80"/>
    </row>
    <row r="34" spans="1:37" ht="21" customHeight="1" x14ac:dyDescent="0.25">
      <c r="A34" s="140"/>
      <c r="Q34" s="114"/>
      <c r="R34" s="79"/>
      <c r="S34" s="80"/>
      <c r="T34" s="141"/>
      <c r="U34" s="133"/>
      <c r="V34" s="133"/>
      <c r="W34" s="133"/>
      <c r="X34" s="133"/>
      <c r="Y34" s="133"/>
      <c r="Z34" s="133"/>
      <c r="AA34" s="135"/>
      <c r="AB34" s="135"/>
      <c r="AC34" s="135"/>
      <c r="AD34" s="135"/>
      <c r="AE34" s="135"/>
      <c r="AF34" s="135"/>
      <c r="AG34" s="79"/>
      <c r="AH34" s="79"/>
      <c r="AI34" s="79"/>
      <c r="AJ34" s="79"/>
      <c r="AK34" s="80"/>
    </row>
    <row r="35" spans="1:37" ht="21" customHeight="1" x14ac:dyDescent="0.25">
      <c r="A35" s="140"/>
      <c r="Q35" s="114"/>
      <c r="R35" s="79"/>
      <c r="S35" s="80"/>
      <c r="T35" s="133"/>
      <c r="U35" s="133"/>
      <c r="V35" s="133"/>
      <c r="W35" s="133"/>
      <c r="X35" s="133"/>
      <c r="Y35" s="133"/>
      <c r="Z35" s="133"/>
      <c r="AA35" s="135"/>
      <c r="AB35" s="135"/>
      <c r="AC35" s="135"/>
      <c r="AD35" s="135"/>
      <c r="AE35" s="135"/>
      <c r="AF35" s="135"/>
      <c r="AG35" s="79"/>
      <c r="AH35" s="79"/>
      <c r="AI35" s="79"/>
      <c r="AJ35" s="79"/>
      <c r="AK35" s="80"/>
    </row>
    <row r="36" spans="1:37" ht="21" customHeight="1" x14ac:dyDescent="0.25">
      <c r="A36" s="140"/>
      <c r="Q36" s="114"/>
      <c r="R36" s="79"/>
      <c r="S36" s="80"/>
      <c r="T36" s="139"/>
      <c r="U36" s="133"/>
      <c r="V36" s="133"/>
      <c r="W36" s="133"/>
      <c r="X36" s="133"/>
      <c r="Y36" s="133"/>
      <c r="Z36" s="133"/>
      <c r="AA36" s="135"/>
      <c r="AB36" s="135"/>
      <c r="AC36" s="135"/>
      <c r="AD36" s="135"/>
      <c r="AE36" s="135"/>
      <c r="AF36" s="135"/>
      <c r="AG36" s="79"/>
      <c r="AH36" s="79"/>
      <c r="AI36" s="79"/>
      <c r="AJ36" s="79"/>
      <c r="AK36" s="80"/>
    </row>
    <row r="37" spans="1:37" ht="21.75" customHeight="1" thickBot="1" x14ac:dyDescent="0.3">
      <c r="A37" s="140"/>
      <c r="Q37" s="114"/>
      <c r="R37" s="79"/>
      <c r="S37" s="80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9"/>
    </row>
    <row r="38" spans="1:37" ht="27" thickBot="1" x14ac:dyDescent="0.45">
      <c r="A38" s="140"/>
      <c r="Q38" s="114"/>
      <c r="R38" s="79"/>
      <c r="S38" s="80"/>
      <c r="T38" s="142" t="s">
        <v>221</v>
      </c>
      <c r="U38" s="143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5"/>
    </row>
    <row r="39" spans="1:37" x14ac:dyDescent="0.25">
      <c r="A39" s="140"/>
      <c r="Q39" s="114"/>
      <c r="R39" s="79"/>
      <c r="S39" s="80"/>
      <c r="T39" s="146" t="s">
        <v>222</v>
      </c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80"/>
    </row>
    <row r="40" spans="1:37" x14ac:dyDescent="0.25">
      <c r="A40" s="136"/>
      <c r="Q40" s="79"/>
      <c r="R40" s="79"/>
      <c r="S40" s="80"/>
      <c r="T40" s="146" t="s">
        <v>223</v>
      </c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80"/>
    </row>
    <row r="41" spans="1:37" ht="18" thickBot="1" x14ac:dyDescent="0.3">
      <c r="Q41" s="79"/>
      <c r="R41" s="79"/>
      <c r="S41" s="80"/>
      <c r="T41" s="147" t="s">
        <v>224</v>
      </c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80"/>
    </row>
    <row r="42" spans="1:37" ht="24" thickBot="1" x14ac:dyDescent="0.4">
      <c r="Q42" s="79"/>
      <c r="R42" s="79"/>
      <c r="S42" s="80"/>
      <c r="T42" s="148" t="s">
        <v>225</v>
      </c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50"/>
    </row>
    <row r="43" spans="1:37" ht="15.75" x14ac:dyDescent="0.25">
      <c r="Q43" s="79"/>
      <c r="R43" s="79"/>
      <c r="S43" s="80"/>
      <c r="T43" s="151" t="s">
        <v>226</v>
      </c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152"/>
      <c r="AG43" s="152"/>
      <c r="AH43" s="152"/>
      <c r="AI43" s="152"/>
      <c r="AJ43" s="152"/>
      <c r="AK43" s="153"/>
    </row>
    <row r="44" spans="1:37" x14ac:dyDescent="0.25">
      <c r="Q44" s="79"/>
      <c r="R44" s="79"/>
      <c r="S44" s="80"/>
      <c r="T44" s="124"/>
      <c r="U44" s="79"/>
      <c r="V44" s="79"/>
      <c r="W44" s="79"/>
      <c r="X44" s="79"/>
      <c r="Y44" s="79"/>
      <c r="Z44" s="79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3"/>
    </row>
    <row r="45" spans="1:37" x14ac:dyDescent="0.25">
      <c r="Q45" s="79"/>
      <c r="R45" s="79"/>
      <c r="S45" s="80"/>
      <c r="T45" s="124" t="s">
        <v>227</v>
      </c>
      <c r="U45" s="79"/>
      <c r="V45" s="79"/>
      <c r="W45" s="79"/>
      <c r="X45" s="79"/>
      <c r="Y45" s="79"/>
      <c r="Z45" s="79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3"/>
    </row>
    <row r="46" spans="1:37" x14ac:dyDescent="0.25">
      <c r="Q46" s="79"/>
      <c r="R46" s="79"/>
      <c r="S46" s="80"/>
      <c r="T46" s="124" t="s">
        <v>228</v>
      </c>
      <c r="U46" s="79"/>
      <c r="V46" s="79"/>
      <c r="W46" s="79"/>
      <c r="X46" s="79"/>
      <c r="Y46" s="79"/>
      <c r="Z46" s="79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3"/>
    </row>
    <row r="47" spans="1:37" x14ac:dyDescent="0.25">
      <c r="Q47" s="79"/>
      <c r="R47" s="79"/>
      <c r="S47" s="80"/>
      <c r="T47" s="124" t="s">
        <v>229</v>
      </c>
      <c r="U47" s="79"/>
      <c r="V47" s="79"/>
      <c r="W47" s="79"/>
      <c r="X47" s="79"/>
      <c r="Y47" s="79"/>
      <c r="Z47" s="79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3"/>
    </row>
    <row r="48" spans="1:37" x14ac:dyDescent="0.25">
      <c r="Q48" s="79"/>
      <c r="R48" s="79"/>
      <c r="S48" s="80"/>
      <c r="T48" s="124" t="s">
        <v>230</v>
      </c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80"/>
    </row>
    <row r="49" spans="17:37" x14ac:dyDescent="0.25">
      <c r="Q49" s="79"/>
      <c r="R49" s="79"/>
      <c r="S49" s="80"/>
      <c r="T49" s="154" t="s">
        <v>231</v>
      </c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80"/>
    </row>
    <row r="50" spans="17:37" x14ac:dyDescent="0.25">
      <c r="Q50" s="79"/>
      <c r="R50" s="79"/>
      <c r="S50" s="80"/>
      <c r="T50" s="154" t="s">
        <v>232</v>
      </c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80"/>
    </row>
    <row r="51" spans="17:37" ht="15.75" thickBot="1" x14ac:dyDescent="0.3">
      <c r="Q51" s="108"/>
      <c r="R51" s="108"/>
      <c r="S51" s="109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9"/>
    </row>
  </sheetData>
  <mergeCells count="29">
    <mergeCell ref="T18:V18"/>
    <mergeCell ref="T19:V19"/>
    <mergeCell ref="T22:AJ22"/>
    <mergeCell ref="C12:L12"/>
    <mergeCell ref="M12:N12"/>
    <mergeCell ref="T14:AK14"/>
    <mergeCell ref="T15:AK15"/>
    <mergeCell ref="T16:V16"/>
    <mergeCell ref="T17:V17"/>
    <mergeCell ref="T9:V9"/>
    <mergeCell ref="C10:L10"/>
    <mergeCell ref="M10:N10"/>
    <mergeCell ref="T10:V10"/>
    <mergeCell ref="C11:L11"/>
    <mergeCell ref="M11:N11"/>
    <mergeCell ref="C7:L7"/>
    <mergeCell ref="M7:N7"/>
    <mergeCell ref="C8:L8"/>
    <mergeCell ref="M8:N8"/>
    <mergeCell ref="C9:L9"/>
    <mergeCell ref="M9:N9"/>
    <mergeCell ref="C6:L6"/>
    <mergeCell ref="M6:N6"/>
    <mergeCell ref="T6:V6"/>
    <mergeCell ref="B3:S3"/>
    <mergeCell ref="T3:AK3"/>
    <mergeCell ref="C4:L4"/>
    <mergeCell ref="B5:P5"/>
    <mergeCell ref="T5:V5"/>
  </mergeCells>
  <hyperlinks>
    <hyperlink ref="B5" r:id="rId1" xr:uid="{AE5E1559-C76E-415B-AF50-8A890624EEB0}"/>
  </hyperlinks>
  <pageMargins left="0.70866141732283472" right="0.70866141732283472" top="0.74803149606299213" bottom="0.74803149606299213" header="0.31496062992125984" footer="0.31496062992125984"/>
  <pageSetup paperSize="9" scale="29" orientation="landscape" r:id="rId2"/>
</worksheet>
</file>

<file path=docMetadata/LabelInfo.xml><?xml version="1.0" encoding="utf-8"?>
<clbl:labelList xmlns:clbl="http://schemas.microsoft.com/office/2020/mipLabelMetadata">
  <clbl:label id="{9d314297-75dc-4329-8f94-a66489b4b9bb}" enabled="0" method="" siteId="{9d314297-75dc-4329-8f94-a66489b4b9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SEA-ISC-MEG TO AUS</vt:lpstr>
      <vt:lpstr>SEA Additional</vt:lpstr>
    </vt:vector>
  </TitlesOfParts>
  <Manager/>
  <Company>CMA CGM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YEO Daphne</dc:creator>
  <cp:keywords/>
  <dc:description/>
  <cp:lastModifiedBy>VO Kim</cp:lastModifiedBy>
  <cp:revision/>
  <dcterms:created xsi:type="dcterms:W3CDTF">2023-12-27T08:09:36Z</dcterms:created>
  <dcterms:modified xsi:type="dcterms:W3CDTF">2026-07-03T00:38:01Z</dcterms:modified>
  <cp:category/>
  <cp:contentStatus/>
</cp:coreProperties>
</file>